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Pertilla\ownCloud\Let the Past Speak\Letters\Letters from Hesse\Crede\"/>
    </mc:Choice>
  </mc:AlternateContent>
  <xr:revisionPtr revIDLastSave="0" documentId="13_ncr:1_{0975129B-398D-4B73-8DD8-E30A636EE335}" xr6:coauthVersionLast="47" xr6:coauthVersionMax="47" xr10:uidLastSave="{00000000-0000-0000-0000-000000000000}"/>
  <bookViews>
    <workbookView xWindow="-120" yWindow="-120" windowWidth="38640" windowHeight="21120" xr2:uid="{C3EECB5D-EB1D-4DD1-B1AD-000EA2229E83}"/>
  </bookViews>
  <sheets>
    <sheet name="Letters" sheetId="1" r:id="rId1"/>
    <sheet name="People" sheetId="2" r:id="rId2"/>
    <sheet name="Sheet1" sheetId="3" r:id="rId3"/>
  </sheets>
  <externalReferences>
    <externalReference r:id="rId4"/>
  </externalReferences>
  <definedNames>
    <definedName name="Credes">People!$A$2:$B$12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M3" i="1"/>
  <c r="L4" i="1"/>
  <c r="M4" i="1"/>
  <c r="L5" i="1"/>
  <c r="M5" i="1"/>
  <c r="L6" i="1"/>
  <c r="M6" i="1"/>
  <c r="L7" i="1"/>
  <c r="M7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0" i="1"/>
  <c r="M40" i="1"/>
  <c r="L41" i="1"/>
  <c r="M41" i="1"/>
  <c r="L42" i="1"/>
  <c r="M42" i="1"/>
  <c r="L43" i="1"/>
  <c r="M43" i="1"/>
  <c r="L44" i="1"/>
  <c r="M44" i="1"/>
  <c r="L45" i="1"/>
  <c r="M45" i="1"/>
  <c r="L46" i="1"/>
  <c r="M46" i="1"/>
  <c r="L47" i="1"/>
  <c r="M47" i="1"/>
  <c r="L48" i="1"/>
  <c r="M48" i="1"/>
  <c r="L49" i="1"/>
  <c r="M49" i="1"/>
  <c r="L50" i="1"/>
  <c r="M50" i="1"/>
  <c r="L51" i="1"/>
  <c r="M51" i="1"/>
  <c r="L52" i="1"/>
  <c r="M52" i="1"/>
  <c r="L53" i="1"/>
  <c r="M53" i="1"/>
  <c r="L54" i="1"/>
  <c r="M54" i="1"/>
  <c r="L55" i="1"/>
  <c r="M55" i="1"/>
  <c r="L56" i="1"/>
  <c r="M56" i="1"/>
  <c r="L57" i="1"/>
  <c r="M57" i="1"/>
  <c r="L58" i="1"/>
  <c r="M58" i="1"/>
  <c r="L59" i="1"/>
  <c r="M59" i="1"/>
  <c r="L60" i="1"/>
  <c r="M60" i="1"/>
  <c r="L61" i="1"/>
  <c r="M61" i="1"/>
  <c r="L62" i="1"/>
  <c r="M62" i="1"/>
  <c r="L63" i="1"/>
  <c r="M63" i="1"/>
  <c r="L64" i="1"/>
  <c r="M64" i="1"/>
  <c r="L65" i="1"/>
  <c r="M65" i="1"/>
  <c r="L66" i="1"/>
  <c r="M66" i="1"/>
  <c r="L67" i="1"/>
  <c r="M67" i="1"/>
  <c r="L68" i="1"/>
  <c r="M68" i="1"/>
  <c r="L69" i="1"/>
  <c r="M69" i="1"/>
  <c r="L70" i="1"/>
  <c r="M70" i="1"/>
  <c r="L71" i="1"/>
  <c r="M71" i="1"/>
  <c r="L72" i="1"/>
  <c r="M72" i="1"/>
  <c r="L73" i="1"/>
  <c r="M73" i="1"/>
  <c r="M2" i="1"/>
  <c r="L2" i="1"/>
  <c r="K2" i="1" a="1"/>
  <c r="K2" i="1" s="1"/>
  <c r="K3" i="1" a="1"/>
  <c r="K3" i="1" s="1"/>
  <c r="J17" i="1" a="1"/>
  <c r="J17" i="1" s="1"/>
  <c r="J16" i="1" a="1"/>
  <c r="J16" i="1" s="1"/>
  <c r="J15" i="1" a="1"/>
  <c r="J15" i="1" s="1"/>
  <c r="J14" i="1" a="1"/>
  <c r="J14" i="1" s="1"/>
  <c r="J13" i="1" a="1"/>
  <c r="J13" i="1" s="1"/>
  <c r="J12" i="1" a="1"/>
  <c r="J12" i="1" s="1"/>
  <c r="J11" i="1" a="1"/>
  <c r="J11" i="1" s="1"/>
  <c r="J10" i="1" a="1"/>
  <c r="J10" i="1" s="1"/>
  <c r="J9" i="1" a="1"/>
  <c r="J9" i="1" s="1"/>
  <c r="J8" i="1" a="1"/>
  <c r="J8" i="1" s="1"/>
  <c r="J7" i="1" a="1"/>
  <c r="J7" i="1" s="1"/>
  <c r="J6" i="1" a="1"/>
  <c r="J6" i="1" s="1"/>
  <c r="J5" i="1" a="1"/>
  <c r="J5" i="1" s="1"/>
  <c r="J4" i="1" a="1"/>
  <c r="J4" i="1" s="1"/>
  <c r="J3" i="1" a="1"/>
  <c r="J3" i="1" s="1"/>
  <c r="J2" i="1" a="1"/>
  <c r="J2" i="1" s="1"/>
  <c r="J19" i="1" a="1"/>
  <c r="J19" i="1" s="1"/>
  <c r="J20" i="1" a="1"/>
  <c r="J20" i="1" s="1"/>
  <c r="J21" i="1" a="1"/>
  <c r="J21" i="1" s="1"/>
  <c r="J22" i="1" a="1"/>
  <c r="J22" i="1" s="1"/>
  <c r="J23" i="1" a="1"/>
  <c r="J23" i="1" s="1"/>
  <c r="J24" i="1" a="1"/>
  <c r="J24" i="1" s="1"/>
  <c r="J25" i="1" a="1"/>
  <c r="J25" i="1"/>
  <c r="J26" i="1" a="1"/>
  <c r="J26" i="1" s="1"/>
  <c r="J27" i="1" a="1"/>
  <c r="J27" i="1" s="1"/>
  <c r="J28" i="1" a="1"/>
  <c r="J28" i="1" s="1"/>
  <c r="J29" i="1" a="1"/>
  <c r="J29" i="1" s="1"/>
  <c r="J30" i="1" a="1"/>
  <c r="J30" i="1" s="1"/>
  <c r="J31" i="1" a="1"/>
  <c r="J31" i="1"/>
  <c r="J32" i="1" a="1"/>
  <c r="J32" i="1" s="1"/>
  <c r="J33" i="1" a="1"/>
  <c r="J33" i="1" s="1"/>
  <c r="J34" i="1" a="1"/>
  <c r="J34" i="1" s="1"/>
  <c r="J35" i="1" a="1"/>
  <c r="J35" i="1" s="1"/>
  <c r="J36" i="1" a="1"/>
  <c r="J36" i="1" s="1"/>
  <c r="J37" i="1" a="1"/>
  <c r="J37" i="1" s="1"/>
  <c r="J38" i="1" a="1"/>
  <c r="J38" i="1" s="1"/>
  <c r="J39" i="1" a="1"/>
  <c r="J39" i="1"/>
  <c r="J40" i="1" a="1"/>
  <c r="J40" i="1"/>
  <c r="J41" i="1" a="1"/>
  <c r="J41" i="1"/>
  <c r="J42" i="1" a="1"/>
  <c r="J42" i="1" s="1"/>
  <c r="J43" i="1" a="1"/>
  <c r="J43" i="1" s="1"/>
  <c r="J44" i="1" a="1"/>
  <c r="J44" i="1" s="1"/>
  <c r="J45" i="1" a="1"/>
  <c r="J45" i="1" s="1"/>
  <c r="J46" i="1" a="1"/>
  <c r="J46" i="1" s="1"/>
  <c r="J47" i="1" a="1"/>
  <c r="J47" i="1" s="1"/>
  <c r="J48" i="1" a="1"/>
  <c r="J48" i="1"/>
  <c r="J49" i="1" a="1"/>
  <c r="J49" i="1" s="1"/>
  <c r="J50" i="1" a="1"/>
  <c r="J50" i="1" s="1"/>
  <c r="J51" i="1" a="1"/>
  <c r="J51" i="1" s="1"/>
  <c r="J52" i="1" a="1"/>
  <c r="J52" i="1" s="1"/>
  <c r="J53" i="1" a="1"/>
  <c r="J53" i="1" s="1"/>
  <c r="J54" i="1" a="1"/>
  <c r="J54" i="1" s="1"/>
  <c r="J55" i="1" a="1"/>
  <c r="J55" i="1" s="1"/>
  <c r="J56" i="1" a="1"/>
  <c r="J56" i="1" s="1"/>
  <c r="J57" i="1" a="1"/>
  <c r="J57" i="1" s="1"/>
  <c r="J58" i="1" a="1"/>
  <c r="J58" i="1" s="1"/>
  <c r="J59" i="1" a="1"/>
  <c r="J59" i="1" s="1"/>
  <c r="J60" i="1" a="1"/>
  <c r="J60" i="1" s="1"/>
  <c r="J61" i="1" a="1"/>
  <c r="J61" i="1" s="1"/>
  <c r="J62" i="1" a="1"/>
  <c r="J62" i="1" s="1"/>
  <c r="J63" i="1" a="1"/>
  <c r="J63" i="1" s="1"/>
  <c r="J64" i="1" a="1"/>
  <c r="J64" i="1" s="1"/>
  <c r="J65" i="1" a="1"/>
  <c r="J65" i="1" s="1"/>
  <c r="J66" i="1" a="1"/>
  <c r="J66" i="1" s="1"/>
  <c r="J67" i="1" a="1"/>
  <c r="J67" i="1" s="1"/>
  <c r="J68" i="1" a="1"/>
  <c r="J68" i="1" s="1"/>
  <c r="J69" i="1" a="1"/>
  <c r="J69" i="1" s="1"/>
  <c r="J70" i="1" a="1"/>
  <c r="J70" i="1" s="1"/>
  <c r="J71" i="1" a="1"/>
  <c r="J71" i="1" s="1"/>
  <c r="J72" i="1" a="1"/>
  <c r="J72" i="1" s="1"/>
  <c r="J73" i="1" a="1"/>
  <c r="J73" i="1" s="1"/>
  <c r="J18" i="1" a="1"/>
  <c r="J18" i="1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2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<sst xmlns="http://schemas.openxmlformats.org/spreadsheetml/2006/main" count="458" uniqueCount="269">
  <si>
    <t>Identifier</t>
  </si>
  <si>
    <t>URL</t>
  </si>
  <si>
    <t>Title</t>
  </si>
  <si>
    <t>Author</t>
  </si>
  <si>
    <t>Recipient</t>
  </si>
  <si>
    <t>Date</t>
  </si>
  <si>
    <t>Origin</t>
  </si>
  <si>
    <t>Extent</t>
  </si>
  <si>
    <t>Crede_0064</t>
  </si>
  <si>
    <t>Heinrich Carl Crede and Clotilde Crede to Hermann Crede and Maria Crede, February 25, 1860</t>
  </si>
  <si>
    <t>Clothilde Schröder (Crede)|Heinrich Carl Crede</t>
  </si>
  <si>
    <t>Hermann Carl Crede|Marie Spöhler (Crede)</t>
  </si>
  <si>
    <t>1860-02-25</t>
  </si>
  <si>
    <t>Cassel, Hesse</t>
  </si>
  <si>
    <t>Crede_0065</t>
  </si>
  <si>
    <t>Heinrich Carl Crede and Clotilde Crede to Hermann Crede and Maria Crede, June 23, 1860</t>
  </si>
  <si>
    <t>Heinrich Carl Crede|Clothilde Schröder (Crede)</t>
  </si>
  <si>
    <t>Hermann Carl Crede</t>
  </si>
  <si>
    <t>1860-06-23</t>
  </si>
  <si>
    <t>Crede_0066</t>
  </si>
  <si>
    <t>Heinrich Carl Crede and Clotilde Crede to Hermann Crede, March 3, 1861</t>
  </si>
  <si>
    <t>1861-03-03</t>
  </si>
  <si>
    <t>Crede_0067</t>
  </si>
  <si>
    <t>Heinrich Carl Crede and Clotilde Crede to Hermann Crede, 25. April 1861</t>
  </si>
  <si>
    <t>1861-04-25</t>
  </si>
  <si>
    <t>Crede_0068</t>
  </si>
  <si>
    <t>Heinrich Carl Crede and Clotilde Crede to Hermann Crede, November 22, 1861</t>
  </si>
  <si>
    <t>1861-11-22</t>
  </si>
  <si>
    <t>Crede_0069</t>
  </si>
  <si>
    <t>Heinrich Carl Crede and Clotilde Crede to Hermann Crede, February 25, 1862</t>
  </si>
  <si>
    <t>Clothilde Schröder (Crede)</t>
  </si>
  <si>
    <t>1862-02-25</t>
  </si>
  <si>
    <t>Crede_0070</t>
  </si>
  <si>
    <t>Heinrich Carl and Clotilde Crede to Hermann Crede, August 11, 1862</t>
  </si>
  <si>
    <t>1862-08-11</t>
  </si>
  <si>
    <t>Crede_0071</t>
  </si>
  <si>
    <t>Heinrich Carl Crede to Hermann Crede, January 8, 1863</t>
  </si>
  <si>
    <t>Heinrich Carl Crede</t>
  </si>
  <si>
    <t>1863-01-08</t>
  </si>
  <si>
    <t>Crede_0072</t>
  </si>
  <si>
    <t>Heinrich Carl Crede to Hermann Crede, August 23, 1863</t>
  </si>
  <si>
    <t>1863-08-23</t>
  </si>
  <si>
    <t>Crede_0073</t>
  </si>
  <si>
    <t>Heinrich Carl Crede to Hermann Crede, January 27, 1864</t>
  </si>
  <si>
    <t>1864-01-27</t>
  </si>
  <si>
    <t>Crede_0074</t>
  </si>
  <si>
    <t>Heinrich Carl Crede to Hermann Crede, September 27, 1864</t>
  </si>
  <si>
    <t>Heinrich Carl Crede|Therese Crede (Winhold)</t>
  </si>
  <si>
    <t>1864-09-27</t>
  </si>
  <si>
    <t>Crede_0075</t>
  </si>
  <si>
    <t>Crede family letter to Hermann Crede, September 27, 1864</t>
  </si>
  <si>
    <t>Clothilde Schröder (Crede)|Adelheid Crede (Stock)|Therese Crede (Winhold)</t>
  </si>
  <si>
    <t>Crede_0077</t>
  </si>
  <si>
    <t>Clotilde Crede to Hermann Crede, November 27, 1865</t>
  </si>
  <si>
    <t>1865</t>
  </si>
  <si>
    <t>Crede_0078</t>
  </si>
  <si>
    <t>Heinrich Carl Crede and Clotilde Crede to Hermann Crede, January 8, 1865</t>
  </si>
  <si>
    <t>Adelheid Crede (Stock)|Therese Crede (Winhold)|Heinrich Carl Crede|Clothilde Schröder (Crede)</t>
  </si>
  <si>
    <t>1865-01-08</t>
  </si>
  <si>
    <t>Crede_0079</t>
  </si>
  <si>
    <t>Crede family letter to Hermann Crede, June 25, 1865</t>
  </si>
  <si>
    <t>Heinrich Carl Crede|Therese Crede (Winhold)|Clothilde Schröder (Crede)</t>
  </si>
  <si>
    <t>1865-06-25</t>
  </si>
  <si>
    <t>Crede_0080</t>
  </si>
  <si>
    <t>Heinrich Carl Crede to Hermann Crede, November 26, 1865</t>
  </si>
  <si>
    <t>1865-11-26</t>
  </si>
  <si>
    <t>Crede_0081</t>
  </si>
  <si>
    <t>Crede family letter to Hermann Crede, July 22, 1866</t>
  </si>
  <si>
    <t>Adelheid Crede (Stock)|Clothilde Schröder (Crede)|Therese Crede (Winhold)|Heinrich Carl Crede|Angelina/Marie Crede</t>
  </si>
  <si>
    <t>1866-07-22</t>
  </si>
  <si>
    <t>Crede_0082</t>
  </si>
  <si>
    <t>Clotilde and Heinrich Carl Crede to Hermann Crede, January 27, 1867</t>
  </si>
  <si>
    <t>1867-01-27</t>
  </si>
  <si>
    <t>Crede_0083</t>
  </si>
  <si>
    <t>Crede family letter to Hermann Crede, July 16, 1867</t>
  </si>
  <si>
    <t>Heinrich Carl Crede|Clothilde Schröder (Crede)|Adelheid Crede (Stock)</t>
  </si>
  <si>
    <t>1867-07-16</t>
  </si>
  <si>
    <t>Crede_0084</t>
  </si>
  <si>
    <t>Crede family letter to Hermann Crede, March 26, 1868</t>
  </si>
  <si>
    <t>Adelheid Crede (Stock)|Heinrich Carl Crede|Clothilde Schröder (Crede)|Therese Crede (Winhold)</t>
  </si>
  <si>
    <t>1868-03-26</t>
  </si>
  <si>
    <t>Crede_0085</t>
  </si>
  <si>
    <t>Heinrich Carl Crede to Hermann Crede, July 19, 1868</t>
  </si>
  <si>
    <t>1868-07-19</t>
  </si>
  <si>
    <t>Crede_0086</t>
  </si>
  <si>
    <t>Crede family letter to Hermann Crede, March 18, 1869</t>
  </si>
  <si>
    <t>Adelheid Crede (Stock)|Clothilde Schröder (Crede)|Heinrich Carl Crede|Therese Crede (Winhold)</t>
  </si>
  <si>
    <t>1869-03-18</t>
  </si>
  <si>
    <t>Crede_0087</t>
  </si>
  <si>
    <t>Crede family letter to Hermann Crede, November 1, 1869</t>
  </si>
  <si>
    <t>Heinrich Carl Crede|Clothilde Schröder (Crede)|Adelheid Crede (Stock)|Therese Crede (Winhold)</t>
  </si>
  <si>
    <t>Hermann Carl Crede|Karl Crede</t>
  </si>
  <si>
    <t>1869-11-01</t>
  </si>
  <si>
    <t>Crede_0089</t>
  </si>
  <si>
    <t>Crede family letter to Hermann Crede, July 17, 1870</t>
  </si>
  <si>
    <t>Heinrich Carl Crede|Therese Crede (Winhold)|Adelheid Crede (Stock)|Clothilde Schröder (Crede)</t>
  </si>
  <si>
    <t>1870-07-17</t>
  </si>
  <si>
    <t>Crede_0090</t>
  </si>
  <si>
    <t>Adelheid and August Stock to Hermann Crede, February 4, 1871</t>
  </si>
  <si>
    <t>Adelheid Crede (Stock)|August Stock</t>
  </si>
  <si>
    <t>1871-02-04</t>
  </si>
  <si>
    <t>Crede_0091</t>
  </si>
  <si>
    <t>Clothilde and Heinrich Carl Crede to Hermann Crede, February 5, 1871</t>
  </si>
  <si>
    <t>Wilhelm Ernst Crede</t>
  </si>
  <si>
    <t>1871-02-05</t>
  </si>
  <si>
    <t>Crede_0092</t>
  </si>
  <si>
    <t>Crede family letter to Hermann Crede, March 26, 1871</t>
  </si>
  <si>
    <t>1871-03-26</t>
  </si>
  <si>
    <t>Crede_0093</t>
  </si>
  <si>
    <t>Clotilde and Heinrich Carl Crede to Hermann Crede, November 30, 1871</t>
  </si>
  <si>
    <t>1871-11-30</t>
  </si>
  <si>
    <t>Crede_0094</t>
  </si>
  <si>
    <t>Heinrich Carl Crede to Hermann Crede, April 3, 1872</t>
  </si>
  <si>
    <t>1872-04-03</t>
  </si>
  <si>
    <t>Crede_0095</t>
  </si>
  <si>
    <t>Crede family letter to Hermann Crede, June 23, 1872</t>
  </si>
  <si>
    <t>Adelheid Crede (Stock)|Heinrich Carl Crede|Clothilde Schröder (Crede)</t>
  </si>
  <si>
    <t>1872-06-23</t>
  </si>
  <si>
    <t>Crede_0096</t>
  </si>
  <si>
    <t>Crede family letter, October 13, 1872</t>
  </si>
  <si>
    <t>Clothilde Schröder (Crede)|Heinrich Carl Crede|Therese Crede (Winhold)</t>
  </si>
  <si>
    <t>1872-10-13</t>
  </si>
  <si>
    <t>Crede_0097</t>
  </si>
  <si>
    <t>Crede family letter to Hermann Crede, June 29, 1873</t>
  </si>
  <si>
    <t>Heinrich Carl Crede|Clothilde Schröder (Crede)|Therese Crede (Winhold)</t>
  </si>
  <si>
    <t>1873-06-29</t>
  </si>
  <si>
    <t>Crede_0098</t>
  </si>
  <si>
    <t>Heinrich Carl Crede to Hermann Crede, April 19, 1874</t>
  </si>
  <si>
    <t>1874-04-19</t>
  </si>
  <si>
    <t>Crede_0099</t>
  </si>
  <si>
    <t>Crede family letter, August 9, 1874</t>
  </si>
  <si>
    <t>1874-08-09</t>
  </si>
  <si>
    <t>Crede_0100</t>
  </si>
  <si>
    <t>Brief der Familie Crede, 25. Februar 1875</t>
  </si>
  <si>
    <t>1875-02-25</t>
  </si>
  <si>
    <t>Kassel, Hessen</t>
  </si>
  <si>
    <t>Crede_0102</t>
  </si>
  <si>
    <t>Heinrich Carl Crede to Hermann Crede, June 27, 1875</t>
  </si>
  <si>
    <t>1875-06-27</t>
  </si>
  <si>
    <t>Crede_0103</t>
  </si>
  <si>
    <t>Clothilde Crede and Therese Crede to Hermann Crede, July 25, 1875</t>
  </si>
  <si>
    <t>Clothilde Schröder (Crede)|Therese Crede (Winhold)</t>
  </si>
  <si>
    <t>1875-07-25</t>
  </si>
  <si>
    <t>[Cassel, Hesse?]</t>
  </si>
  <si>
    <t>Crede_0104</t>
  </si>
  <si>
    <t>Heinrich Carl Crede to Hermann Crede, October 17, 1875</t>
  </si>
  <si>
    <t>1875-10-17</t>
  </si>
  <si>
    <t>Crede_0105</t>
  </si>
  <si>
    <t>Heinrich Carl Crede to Hermann Crede, May 19, 1876</t>
  </si>
  <si>
    <t>1876-05-19</t>
  </si>
  <si>
    <t>Wiesbaden, Hesse</t>
  </si>
  <si>
    <t>Crede_0106</t>
  </si>
  <si>
    <t>Heinrich Carl Crede and Clotilde Crede to Hermann Crede, September 24, 1876</t>
  </si>
  <si>
    <t>1876-09-24</t>
  </si>
  <si>
    <t>Crede_0107</t>
  </si>
  <si>
    <t>Heinrich Carl Crede to Hermann Crede, October 28, 1877</t>
  </si>
  <si>
    <t>1877-10-28</t>
  </si>
  <si>
    <t>Crede_0108</t>
  </si>
  <si>
    <t>Clothilde Crede to Hermann Crede, 1877</t>
  </si>
  <si>
    <t>1877</t>
  </si>
  <si>
    <t>Crede_0109</t>
  </si>
  <si>
    <t>Heinrich Carl Crede to Hermann Crede, April 19, 1879</t>
  </si>
  <si>
    <t>1879-04-19</t>
  </si>
  <si>
    <t>Crede_0111</t>
  </si>
  <si>
    <t>Heinrich Carl Crede to Hermann Crede, June 8, 1878.</t>
  </si>
  <si>
    <t>1878-06-08</t>
  </si>
  <si>
    <t>Crede_0112</t>
  </si>
  <si>
    <t>Brief der Familie Crede, 26. August 1878</t>
  </si>
  <si>
    <t>1878-08-26</t>
  </si>
  <si>
    <t>Crede_0115</t>
  </si>
  <si>
    <t>Heinrich Carl Crede and Clotilde Crede to Hermann Crede, February 1879</t>
  </si>
  <si>
    <t>1879-02</t>
  </si>
  <si>
    <t>Strassburg, Alsace-Lorraine (now Strasbourg, France)</t>
  </si>
  <si>
    <t>Crede_0116</t>
  </si>
  <si>
    <t>Heinrich Carl Crede to Hermann Crede, November 12, 1879</t>
  </si>
  <si>
    <t>1879-11-12</t>
  </si>
  <si>
    <t>Crede_0117</t>
  </si>
  <si>
    <t>Clotilde Crede to Hermann Crede, February 11, 1880</t>
  </si>
  <si>
    <t>1880-02-11</t>
  </si>
  <si>
    <t>Crede_0118</t>
  </si>
  <si>
    <t>Heinrich Carl Crede to Hermann Crede, August 28, 1880</t>
  </si>
  <si>
    <t>1880-08-28</t>
  </si>
  <si>
    <t>Crede_0120</t>
  </si>
  <si>
    <t>Heinrich Carl Crede to Hermann Crede, February 1, 1881</t>
  </si>
  <si>
    <t>1881-02-01</t>
  </si>
  <si>
    <t>Crede_0122</t>
  </si>
  <si>
    <t>Clotilde and Heinrich Carl Crede to Hermann Crede, May 6, 1881</t>
  </si>
  <si>
    <t>1881-05-06</t>
  </si>
  <si>
    <t>Crede_0123</t>
  </si>
  <si>
    <t>Heinrich Carl Crede to Herman Crede, February 1, 1882</t>
  </si>
  <si>
    <t>1882-02-01</t>
  </si>
  <si>
    <t>Wahlershausen, Hesse</t>
  </si>
  <si>
    <t>Crede_0125</t>
  </si>
  <si>
    <t>Crede family letter, April 29, 1882</t>
  </si>
  <si>
    <t>1882-04-29</t>
  </si>
  <si>
    <t>Crede_0127</t>
  </si>
  <si>
    <t>Heinrich Carl Crede to Hermann Carl Crede, July 26, 1882</t>
  </si>
  <si>
    <t>1882-07-26</t>
  </si>
  <si>
    <t>Wahlershausen, Hessen</t>
  </si>
  <si>
    <t>Crede_0130</t>
  </si>
  <si>
    <t>Heinrich Carl Crede to Hermann Crede, February 2, 1883</t>
  </si>
  <si>
    <t>1883-02-02</t>
  </si>
  <si>
    <t>Crede_0131</t>
  </si>
  <si>
    <t>Clothilde Crede to Hermann Crede, February 1883</t>
  </si>
  <si>
    <t>1883-02</t>
  </si>
  <si>
    <t>Crede_0132</t>
  </si>
  <si>
    <t>Heinrich Carl Crede to Hermann Crede, March 9, 1883</t>
  </si>
  <si>
    <t>1883-03-09</t>
  </si>
  <si>
    <t>Crede_0134</t>
  </si>
  <si>
    <t>Heinrich Carl Crede to Hermann Crede, June 10, 1883</t>
  </si>
  <si>
    <t>1883-06-10</t>
  </si>
  <si>
    <t>Crede_0136</t>
  </si>
  <si>
    <t>Heinrich Carl Crede to Hermann Crede, January 3, 1884</t>
  </si>
  <si>
    <t>1884-01-03</t>
  </si>
  <si>
    <t>Crede_0137</t>
  </si>
  <si>
    <t>Heinrich Carl Crede to Hermann Crede, March 26, 1884</t>
  </si>
  <si>
    <t>1884-03-26</t>
  </si>
  <si>
    <t>Crede_0139</t>
  </si>
  <si>
    <t>Brief der Familie Crede, 21. August 1884</t>
  </si>
  <si>
    <t>1884-08-21</t>
  </si>
  <si>
    <t>Crede_0141</t>
  </si>
  <si>
    <t>Clothilde and Heinrich Carl Crede to Hermann Crede, February 6, 1885</t>
  </si>
  <si>
    <t>1885-02-06</t>
  </si>
  <si>
    <t>Crede_0152</t>
  </si>
  <si>
    <t>Therese Crede to Hermann Crede, September 28, 1885</t>
  </si>
  <si>
    <t>Therese Crede (Winhold)</t>
  </si>
  <si>
    <t>1885-09-28</t>
  </si>
  <si>
    <t>Crede_0153</t>
  </si>
  <si>
    <t>Curt Crede to Hermann Crede, October 28, 1885</t>
  </si>
  <si>
    <t>Curt Crede</t>
  </si>
  <si>
    <t>1885-10-28</t>
  </si>
  <si>
    <t>Crede_0154</t>
  </si>
  <si>
    <t>Therese Crede to Hermann Crede, November 12, 1885</t>
  </si>
  <si>
    <t>1885-11-12</t>
  </si>
  <si>
    <t>Crede_0155</t>
  </si>
  <si>
    <t>Therese Crede to Hermann Crede, November 22, 1885</t>
  </si>
  <si>
    <t>1885-11-22</t>
  </si>
  <si>
    <t>Crede_0156</t>
  </si>
  <si>
    <t>Therese Crede to Hermann Crede, December 17, 1885</t>
  </si>
  <si>
    <t>1885-12-17</t>
  </si>
  <si>
    <t>Crede_0157</t>
  </si>
  <si>
    <t>Clotilde Crede to Hermann Crede, 1885</t>
  </si>
  <si>
    <t>1885</t>
  </si>
  <si>
    <t>Crede_0158</t>
  </si>
  <si>
    <t>Therese Winhold to Hermann Crede January 19, 1886</t>
  </si>
  <si>
    <t>1886-01-19</t>
  </si>
  <si>
    <t>Crede_0160</t>
  </si>
  <si>
    <t>Curt and Sophie Crede to Hermann Crede, February 9, 1886</t>
  </si>
  <si>
    <t>Sophie Crede|Curt Crede</t>
  </si>
  <si>
    <t>1886-02-09</t>
  </si>
  <si>
    <t>Crede_0161</t>
  </si>
  <si>
    <t>Crede family letter to Hermann Crede, February 10, 1886</t>
  </si>
  <si>
    <t>Therese Crede (Winhold)|Heinrich Carl Crede|Clothilde Schröder (Crede)</t>
  </si>
  <si>
    <t>1886-02-10</t>
  </si>
  <si>
    <t>Crede_0162</t>
  </si>
  <si>
    <t>Therese Crede to Hermann Crede, June 8, 1886</t>
  </si>
  <si>
    <t>1886-06-08</t>
  </si>
  <si>
    <t>Adelheid Crede (Stock)</t>
  </si>
  <si>
    <t>Angelina/Marie Crede</t>
  </si>
  <si>
    <t>August Stock</t>
  </si>
  <si>
    <t>Sophie Crede</t>
  </si>
  <si>
    <t>Karl Crede</t>
  </si>
  <si>
    <t>NAME</t>
  </si>
  <si>
    <t>BIRTH YEAR</t>
  </si>
  <si>
    <t>Year</t>
  </si>
  <si>
    <t>Author_Birth</t>
  </si>
  <si>
    <t>Images</t>
  </si>
  <si>
    <t>Transcription</t>
  </si>
  <si>
    <t>Tokenization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</si>
</sst>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2" borderId="1" applyNumberFormat="0" applyAlignment="0" applyProtection="0"/>
  </cellStyleXfs>
  <cellXfs count="6">
    <xf numFmtId="0" fontId="0" fillId="0" borderId="0" xfId="0"/>
    <xf numFmtId="0" fontId="2" fillId="0" borderId="0" xfId="1"/>
    <xf numFmtId="0" fontId="1" fillId="0" borderId="0" xfId="0" applyFont="1"/>
    <xf numFmtId="0" fontId="1" fillId="0" borderId="0" xfId="0" applyFont="1" applyAlignment="1">
      <alignment horizontal="right"/>
    </xf>
    <xf numFmtId="0" fontId="4" fillId="3" borderId="0" xfId="0" applyFont="1" applyFill="1"/>
    <xf numFmtId="0" fontId="3" fillId="2" borderId="1" xfId="2"/>
  </cellXfs>
  <cellStyles count="3">
    <cellStyle name="Check Cell" xfId="2" builtinId="2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26e28ef9dbce073/Documents/Crede_Metadata.xlsx" TargetMode="External"/><Relationship Id="rId1" Type="http://schemas.openxmlformats.org/officeDocument/2006/relationships/externalLinkPath" Target="https://d.docs.live.net/f26e28ef9dbce073/Documents/Crede_Meta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3"/>
      <sheetName val="Sheet2"/>
    </sheetNames>
    <sheetDataSet>
      <sheetData sheetId="0"/>
      <sheetData sheetId="1"/>
      <sheetData sheetId="2">
        <row r="2">
          <cell r="A2">
            <v>2953</v>
          </cell>
          <cell r="G2" t="str">
            <v>Crede_0108</v>
          </cell>
        </row>
        <row r="3">
          <cell r="A3">
            <v>5031</v>
          </cell>
          <cell r="G3" t="str">
            <v>Crede_0064</v>
          </cell>
        </row>
        <row r="4">
          <cell r="A4">
            <v>5032</v>
          </cell>
          <cell r="G4" t="str">
            <v>Crede_0065</v>
          </cell>
        </row>
        <row r="5">
          <cell r="A5">
            <v>2936</v>
          </cell>
          <cell r="G5" t="str">
            <v>Crede_0066</v>
          </cell>
        </row>
        <row r="6">
          <cell r="A6">
            <v>2945</v>
          </cell>
          <cell r="G6" t="str">
            <v>Crede_0067</v>
          </cell>
        </row>
        <row r="7">
          <cell r="A7">
            <v>5059</v>
          </cell>
          <cell r="G7" t="str">
            <v>Crede_0068</v>
          </cell>
        </row>
        <row r="8">
          <cell r="A8">
            <v>5060</v>
          </cell>
          <cell r="G8" t="str">
            <v>Crede_0069</v>
          </cell>
        </row>
        <row r="9">
          <cell r="A9">
            <v>5061</v>
          </cell>
          <cell r="G9" t="str">
            <v>Crede_0070</v>
          </cell>
        </row>
        <row r="10">
          <cell r="A10">
            <v>5062</v>
          </cell>
          <cell r="G10" t="str">
            <v>Crede_0071</v>
          </cell>
        </row>
        <row r="11">
          <cell r="A11">
            <v>5087</v>
          </cell>
          <cell r="G11" t="str">
            <v>Crede_0072</v>
          </cell>
        </row>
        <row r="12">
          <cell r="A12">
            <v>5088</v>
          </cell>
          <cell r="G12" t="str">
            <v>Crede_0073</v>
          </cell>
        </row>
        <row r="13">
          <cell r="A13">
            <v>5089</v>
          </cell>
          <cell r="G13" t="str">
            <v>Crede_0074</v>
          </cell>
        </row>
        <row r="14">
          <cell r="A14">
            <v>5090</v>
          </cell>
          <cell r="G14" t="str">
            <v>Crede_0075</v>
          </cell>
        </row>
        <row r="15">
          <cell r="A15">
            <v>5122</v>
          </cell>
          <cell r="G15" t="str">
            <v>Crede_0077</v>
          </cell>
        </row>
        <row r="16">
          <cell r="A16">
            <v>5123</v>
          </cell>
          <cell r="G16" t="str">
            <v>Crede_0078</v>
          </cell>
        </row>
        <row r="17">
          <cell r="A17">
            <v>5124</v>
          </cell>
          <cell r="G17" t="str">
            <v>Crede_0079</v>
          </cell>
        </row>
        <row r="18">
          <cell r="A18">
            <v>5125</v>
          </cell>
          <cell r="G18" t="str">
            <v>Crede_0080</v>
          </cell>
        </row>
        <row r="19">
          <cell r="A19">
            <v>5126</v>
          </cell>
          <cell r="G19" t="str">
            <v>Crede_0081</v>
          </cell>
        </row>
        <row r="20">
          <cell r="A20">
            <v>5146</v>
          </cell>
          <cell r="G20" t="str">
            <v>Crede_0082</v>
          </cell>
        </row>
        <row r="21">
          <cell r="A21">
            <v>5147</v>
          </cell>
          <cell r="G21" t="str">
            <v>Crede_0083</v>
          </cell>
        </row>
        <row r="22">
          <cell r="A22">
            <v>5148</v>
          </cell>
          <cell r="G22" t="str">
            <v>Crede_0084</v>
          </cell>
        </row>
        <row r="23">
          <cell r="A23">
            <v>5149</v>
          </cell>
          <cell r="G23" t="str">
            <v>Crede_0085</v>
          </cell>
        </row>
        <row r="24">
          <cell r="A24">
            <v>5150</v>
          </cell>
          <cell r="G24" t="str">
            <v>Crede_0086</v>
          </cell>
        </row>
        <row r="25">
          <cell r="A25">
            <v>5178</v>
          </cell>
          <cell r="G25" t="str">
            <v>Crede_0087</v>
          </cell>
        </row>
        <row r="26">
          <cell r="A26">
            <v>5180</v>
          </cell>
          <cell r="G26" t="str">
            <v>Crede_0089</v>
          </cell>
        </row>
        <row r="27">
          <cell r="A27">
            <v>5181</v>
          </cell>
          <cell r="G27" t="str">
            <v>Crede_0090</v>
          </cell>
        </row>
        <row r="28">
          <cell r="A28">
            <v>5182</v>
          </cell>
          <cell r="G28" t="str">
            <v>Crede_0091</v>
          </cell>
        </row>
        <row r="29">
          <cell r="A29">
            <v>5199</v>
          </cell>
          <cell r="G29" t="str">
            <v>Crede_0092</v>
          </cell>
        </row>
        <row r="30">
          <cell r="A30">
            <v>5200</v>
          </cell>
          <cell r="G30" t="str">
            <v>Crede_0093</v>
          </cell>
        </row>
        <row r="31">
          <cell r="A31">
            <v>5201</v>
          </cell>
          <cell r="G31" t="str">
            <v>Crede_0094</v>
          </cell>
        </row>
        <row r="32">
          <cell r="A32">
            <v>5202</v>
          </cell>
          <cell r="G32" t="str">
            <v>Crede_0095</v>
          </cell>
        </row>
        <row r="33">
          <cell r="A33">
            <v>2948</v>
          </cell>
          <cell r="G33" t="str">
            <v>Crede_0096</v>
          </cell>
        </row>
        <row r="34">
          <cell r="A34">
            <v>5223</v>
          </cell>
          <cell r="G34" t="str">
            <v>Crede_0097</v>
          </cell>
        </row>
        <row r="35">
          <cell r="A35">
            <v>5224</v>
          </cell>
          <cell r="G35" t="str">
            <v>Crede_0098</v>
          </cell>
        </row>
        <row r="36">
          <cell r="A36">
            <v>5225</v>
          </cell>
          <cell r="G36" t="str">
            <v>Crede_0099</v>
          </cell>
        </row>
        <row r="37">
          <cell r="A37">
            <v>5226</v>
          </cell>
          <cell r="G37" t="str">
            <v>Crede_0100</v>
          </cell>
        </row>
        <row r="38">
          <cell r="A38">
            <v>5250</v>
          </cell>
          <cell r="G38" t="str">
            <v>Crede_0102</v>
          </cell>
        </row>
        <row r="39">
          <cell r="A39">
            <v>5251</v>
          </cell>
          <cell r="G39" t="str">
            <v>Crede_0103</v>
          </cell>
        </row>
        <row r="40">
          <cell r="A40">
            <v>5252</v>
          </cell>
          <cell r="G40" t="str">
            <v>Crede_0104</v>
          </cell>
        </row>
        <row r="41">
          <cell r="A41">
            <v>5253</v>
          </cell>
          <cell r="G41" t="str">
            <v>Crede_0105</v>
          </cell>
        </row>
        <row r="42">
          <cell r="A42">
            <v>5254</v>
          </cell>
          <cell r="G42" t="str">
            <v>Crede_0106</v>
          </cell>
        </row>
        <row r="43">
          <cell r="A43">
            <v>5271</v>
          </cell>
          <cell r="G43" t="str">
            <v>Crede_0107</v>
          </cell>
        </row>
        <row r="44">
          <cell r="A44">
            <v>5272</v>
          </cell>
          <cell r="G44" t="str">
            <v>Crede_0109</v>
          </cell>
        </row>
        <row r="45">
          <cell r="A45">
            <v>5274</v>
          </cell>
          <cell r="G45" t="str">
            <v>Crede_0111</v>
          </cell>
        </row>
        <row r="46">
          <cell r="A46">
            <v>5299</v>
          </cell>
          <cell r="G46" t="str">
            <v>Crede_0112</v>
          </cell>
        </row>
        <row r="47">
          <cell r="A47">
            <v>5301</v>
          </cell>
          <cell r="G47" t="str">
            <v>Crede_0115</v>
          </cell>
        </row>
        <row r="48">
          <cell r="A48">
            <v>5302</v>
          </cell>
          <cell r="G48" t="str">
            <v>Crede_0116</v>
          </cell>
        </row>
        <row r="49">
          <cell r="A49">
            <v>5324</v>
          </cell>
          <cell r="G49" t="str">
            <v>Crede_0117</v>
          </cell>
        </row>
        <row r="50">
          <cell r="A50">
            <v>5325</v>
          </cell>
          <cell r="G50" t="str">
            <v>Crede_0118</v>
          </cell>
        </row>
        <row r="51">
          <cell r="A51">
            <v>5327</v>
          </cell>
          <cell r="G51" t="str">
            <v>Crede_0120</v>
          </cell>
        </row>
        <row r="52">
          <cell r="A52">
            <v>5353</v>
          </cell>
          <cell r="G52" t="str">
            <v>Crede_0122</v>
          </cell>
        </row>
        <row r="53">
          <cell r="A53">
            <v>5354</v>
          </cell>
          <cell r="G53" t="str">
            <v>Crede_0123</v>
          </cell>
        </row>
        <row r="54">
          <cell r="A54">
            <v>5355</v>
          </cell>
          <cell r="G54" t="str">
            <v>Crede_0125</v>
          </cell>
        </row>
        <row r="55">
          <cell r="A55">
            <v>5378</v>
          </cell>
          <cell r="G55" t="str">
            <v>Crede_0127</v>
          </cell>
        </row>
        <row r="56">
          <cell r="A56">
            <v>5381</v>
          </cell>
          <cell r="G56" t="str">
            <v>Crede_0130</v>
          </cell>
        </row>
        <row r="57">
          <cell r="A57">
            <v>2961</v>
          </cell>
          <cell r="G57" t="str">
            <v>Crede_0131</v>
          </cell>
        </row>
        <row r="58">
          <cell r="A58">
            <v>5399</v>
          </cell>
          <cell r="G58" t="str">
            <v>Crede_0132</v>
          </cell>
        </row>
        <row r="59">
          <cell r="A59">
            <v>5401</v>
          </cell>
          <cell r="G59" t="str">
            <v>Crede_0134</v>
          </cell>
        </row>
        <row r="60">
          <cell r="A60">
            <v>5403</v>
          </cell>
          <cell r="G60" t="str">
            <v>Crede_0136</v>
          </cell>
        </row>
        <row r="61">
          <cell r="A61">
            <v>5422</v>
          </cell>
          <cell r="G61" t="str">
            <v>Crede_0137</v>
          </cell>
        </row>
        <row r="62">
          <cell r="A62">
            <v>5424</v>
          </cell>
          <cell r="G62" t="str">
            <v>Crede_0139</v>
          </cell>
        </row>
        <row r="63">
          <cell r="A63">
            <v>5426</v>
          </cell>
          <cell r="G63" t="str">
            <v>Crede_0141</v>
          </cell>
        </row>
        <row r="64">
          <cell r="A64">
            <v>5473</v>
          </cell>
          <cell r="G64" t="str">
            <v>Crede_0152</v>
          </cell>
        </row>
        <row r="65">
          <cell r="A65">
            <v>5474</v>
          </cell>
          <cell r="G65" t="str">
            <v>Crede_0153</v>
          </cell>
        </row>
        <row r="66">
          <cell r="A66">
            <v>5475</v>
          </cell>
          <cell r="G66" t="str">
            <v>Crede_0154</v>
          </cell>
        </row>
        <row r="67">
          <cell r="A67">
            <v>5476</v>
          </cell>
          <cell r="G67" t="str">
            <v>Crede_0155</v>
          </cell>
        </row>
        <row r="68">
          <cell r="A68">
            <v>5477</v>
          </cell>
          <cell r="G68" t="str">
            <v>Crede_0156</v>
          </cell>
        </row>
        <row r="69">
          <cell r="A69">
            <v>2967</v>
          </cell>
          <cell r="G69" t="str">
            <v>Crede_0157</v>
          </cell>
        </row>
        <row r="70">
          <cell r="A70">
            <v>5500</v>
          </cell>
          <cell r="G70" t="str">
            <v>Crede_0158</v>
          </cell>
        </row>
        <row r="71">
          <cell r="A71">
            <v>5501</v>
          </cell>
          <cell r="G71" t="str">
            <v>Crede_0160</v>
          </cell>
        </row>
        <row r="72">
          <cell r="A72">
            <v>5502</v>
          </cell>
          <cell r="G72" t="str">
            <v>Crede_0161</v>
          </cell>
        </row>
        <row r="73">
          <cell r="A73">
            <v>5503</v>
          </cell>
          <cell r="G73" t="str">
            <v>Crede_0162</v>
          </cell>
        </row>
        <row r="74">
          <cell r="A74">
            <v>5423</v>
          </cell>
        </row>
        <row r="75">
          <cell r="A75">
            <v>5524</v>
          </cell>
        </row>
        <row r="76">
          <cell r="A76">
            <v>1900</v>
          </cell>
        </row>
        <row r="77">
          <cell r="A77">
            <v>1907</v>
          </cell>
        </row>
        <row r="78">
          <cell r="A78">
            <v>1944</v>
          </cell>
        </row>
        <row r="79">
          <cell r="A79">
            <v>1945</v>
          </cell>
        </row>
        <row r="80">
          <cell r="A80">
            <v>1948</v>
          </cell>
        </row>
        <row r="81">
          <cell r="A81">
            <v>1950</v>
          </cell>
        </row>
        <row r="82">
          <cell r="A82">
            <v>2001</v>
          </cell>
        </row>
        <row r="83">
          <cell r="A83">
            <v>2002</v>
          </cell>
        </row>
        <row r="84">
          <cell r="A84">
            <v>2003</v>
          </cell>
        </row>
        <row r="85">
          <cell r="A85">
            <v>2004</v>
          </cell>
        </row>
        <row r="86">
          <cell r="A86">
            <v>2005</v>
          </cell>
        </row>
        <row r="87">
          <cell r="A87">
            <v>2006</v>
          </cell>
        </row>
        <row r="88">
          <cell r="A88">
            <v>2007</v>
          </cell>
        </row>
        <row r="89">
          <cell r="A89">
            <v>2008</v>
          </cell>
        </row>
        <row r="90">
          <cell r="A90">
            <v>2009</v>
          </cell>
        </row>
        <row r="91">
          <cell r="A91">
            <v>2010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49ED2-1603-4CC8-9F61-44EF5B3A799A}">
  <dimension ref="A1:M73"/>
  <sheetViews>
    <sheetView tabSelected="1" topLeftCell="E1" workbookViewId="0">
      <pane ySplit="1" topLeftCell="A2" activePane="bottomLeft" state="frozen"/>
      <selection pane="bottomLeft" activeCell="L16" sqref="L16"/>
    </sheetView>
  </sheetViews>
  <sheetFormatPr defaultRowHeight="14.25"/>
  <cols>
    <col min="1" max="1" width="10.5" bestFit="1" customWidth="1"/>
    <col min="2" max="2" width="45.375" bestFit="1" customWidth="1"/>
    <col min="3" max="3" width="77.25" bestFit="1" customWidth="1"/>
    <col min="4" max="4" width="99.5" bestFit="1" customWidth="1"/>
    <col min="5" max="5" width="36.25" bestFit="1" customWidth="1"/>
    <col min="6" max="6" width="10.125" bestFit="1" customWidth="1"/>
    <col min="7" max="7" width="44.375" bestFit="1" customWidth="1"/>
    <col min="8" max="8" width="5.875" bestFit="1" customWidth="1"/>
    <col min="10" max="10" width="22.75" bestFit="1" customWidth="1"/>
    <col min="11" max="11" width="47.875" bestFit="1" customWidth="1"/>
    <col min="12" max="12" width="14.5" bestFit="1" customWidth="1"/>
    <col min="13" max="13" width="12.375" bestFit="1" customWidth="1"/>
  </cols>
  <sheetData>
    <row r="1" spans="1:13" ht="15.75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264</v>
      </c>
      <c r="J1" s="2" t="s">
        <v>265</v>
      </c>
      <c r="K1" s="2" t="s">
        <v>266</v>
      </c>
      <c r="L1" s="2" t="s">
        <v>267</v>
      </c>
      <c r="M1" s="2" t="s">
        <v>268</v>
      </c>
    </row>
    <row r="2" spans="1:13" ht="16.5" thickTop="1" thickBot="1">
      <c r="A2" t="s">
        <v>8</v>
      </c>
      <c r="B2" s="1" t="str">
        <f>HYPERLINK(_xlfn.CONCAT("https://migrantconnections.org/s/mobile_en/item/",INDEX([1]Sheet2!A$2:A$91,MATCH(A2,[1]Sheet2!G$2:G$73,0))))</f>
        <v>https://migrantconnections.org/s/mobile_en/item/5031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8</v>
      </c>
      <c r="I2">
        <f>VALUE(LEFT(F2,4))</f>
        <v>1860</v>
      </c>
      <c r="J2" t="str" cm="1">
        <f t="array" ref="J2">_xlfn.TEXTJOIN("|",,_xlfn.XLOOKUP(_xlfn.TEXTSPLIT(D2,"|"),People!A$2:A$12,People!B$2:B$12,FALSE))</f>
        <v>1814|1811</v>
      </c>
      <c r="K2" s="5" t="str" cm="1">
        <f t="array" ref="K2">_xlfn.TEXTJOIN("|",,_xlfn.CONCAT(A2,"_",TEXT(_xlfn.SEQUENCE(H2),"0000"),".jpg"))</f>
        <v>Crede_0064_00010002000300040005000600070008.jpg</v>
      </c>
      <c r="L2" s="4" t="str">
        <f>A2 &amp; ".doc"</f>
        <v>Crede_0064.doc</v>
      </c>
      <c r="M2" s="4" t="str">
        <f>_xlfn.TEXTAFTER(B2,"/",6) &amp; ".xml"</f>
        <v>5031.xml</v>
      </c>
    </row>
    <row r="3" spans="1:13" ht="16.5" thickTop="1" thickBot="1">
      <c r="A3" t="s">
        <v>14</v>
      </c>
      <c r="B3" s="1" t="str">
        <f>HYPERLINK(_xlfn.CONCAT("https://migrantconnections.org/s/mobile_en/item/",INDEX([1]Sheet2!A$2:A$91,MATCH(A3,[1]Sheet2!G$2:G$73,0))))</f>
        <v>https://migrantconnections.org/s/mobile_en/item/5032</v>
      </c>
      <c r="C3" t="s">
        <v>15</v>
      </c>
      <c r="D3" t="s">
        <v>16</v>
      </c>
      <c r="E3" t="s">
        <v>17</v>
      </c>
      <c r="F3" t="s">
        <v>18</v>
      </c>
      <c r="G3" t="s">
        <v>13</v>
      </c>
      <c r="H3">
        <v>4</v>
      </c>
      <c r="I3">
        <f t="shared" ref="I3:I66" si="0">VALUE(LEFT(F3,4))</f>
        <v>1860</v>
      </c>
      <c r="J3" t="str" cm="1">
        <f t="array" ref="J3">_xlfn.TEXTJOIN("|",,_xlfn.XLOOKUP(_xlfn.TEXTSPLIT(D3,"|"),People!A$2:A$12,People!B$2:B$12,FALSE))</f>
        <v>1811|1814</v>
      </c>
      <c r="K3" s="5" t="str" cm="1">
        <f t="array" ref="K3">_xlfn.CONCAT("Crede",TEXT(_xlfn.SEQUENCE(TEXT(H3,"0000")),"0000"))</f>
        <v>Crede0001000200030004</v>
      </c>
      <c r="L3" s="4" t="str">
        <f t="shared" ref="L3:L66" si="1">A3 &amp; ".doc"</f>
        <v>Crede_0065.doc</v>
      </c>
      <c r="M3" s="4" t="str">
        <f t="shared" ref="M3:M66" si="2">_xlfn.TEXTAFTER(B3,"/",6) &amp; ".xml"</f>
        <v>5032.xml</v>
      </c>
    </row>
    <row r="4" spans="1:13" ht="15.75" thickTop="1">
      <c r="A4" t="s">
        <v>19</v>
      </c>
      <c r="B4" s="1" t="str">
        <f>HYPERLINK(_xlfn.CONCAT("https://migrantconnections.org/s/mobile_en/item/",INDEX([1]Sheet2!A$2:A$91,MATCH(A4,[1]Sheet2!G$2:G$73,0))))</f>
        <v>https://migrantconnections.org/s/mobile_en/item/2936</v>
      </c>
      <c r="C4" t="s">
        <v>20</v>
      </c>
      <c r="D4" t="s">
        <v>16</v>
      </c>
      <c r="E4" t="s">
        <v>17</v>
      </c>
      <c r="F4" t="s">
        <v>21</v>
      </c>
      <c r="G4" t="s">
        <v>13</v>
      </c>
      <c r="H4">
        <v>4</v>
      </c>
      <c r="I4">
        <f t="shared" si="0"/>
        <v>1861</v>
      </c>
      <c r="J4" t="str" cm="1">
        <f t="array" ref="J4">_xlfn.TEXTJOIN("|",,_xlfn.XLOOKUP(_xlfn.TEXTSPLIT(D4,"|"),People!A$2:A$12,People!B$2:B$12,FALSE))</f>
        <v>1811|1814</v>
      </c>
      <c r="L4" s="4" t="str">
        <f t="shared" si="1"/>
        <v>Crede_0066.doc</v>
      </c>
      <c r="M4" s="4" t="str">
        <f t="shared" si="2"/>
        <v>2936.xml</v>
      </c>
    </row>
    <row r="5" spans="1:13" ht="15">
      <c r="A5" t="s">
        <v>22</v>
      </c>
      <c r="B5" s="1" t="str">
        <f>HYPERLINK(_xlfn.CONCAT("https://migrantconnections.org/s/mobile_en/item/",INDEX([1]Sheet2!A$2:A$91,MATCH(A5,[1]Sheet2!G$2:G$73,0))))</f>
        <v>https://migrantconnections.org/s/mobile_en/item/2945</v>
      </c>
      <c r="C5" t="s">
        <v>23</v>
      </c>
      <c r="D5" t="s">
        <v>16</v>
      </c>
      <c r="E5" t="s">
        <v>11</v>
      </c>
      <c r="F5" t="s">
        <v>24</v>
      </c>
      <c r="G5" t="s">
        <v>13</v>
      </c>
      <c r="H5">
        <v>2</v>
      </c>
      <c r="I5">
        <f t="shared" si="0"/>
        <v>1861</v>
      </c>
      <c r="J5" t="str" cm="1">
        <f t="array" ref="J5">_xlfn.TEXTJOIN("|",,_xlfn.XLOOKUP(_xlfn.TEXTSPLIT(D5,"|"),People!A$2:A$12,People!B$2:B$12,FALSE))</f>
        <v>1811|1814</v>
      </c>
      <c r="L5" s="4" t="str">
        <f t="shared" si="1"/>
        <v>Crede_0067.doc</v>
      </c>
      <c r="M5" s="4" t="str">
        <f t="shared" si="2"/>
        <v>2945.xml</v>
      </c>
    </row>
    <row r="6" spans="1:13" ht="15">
      <c r="A6" t="s">
        <v>25</v>
      </c>
      <c r="B6" s="1" t="str">
        <f>HYPERLINK(_xlfn.CONCAT("https://migrantconnections.org/s/mobile_en/item/",INDEX([1]Sheet2!A$2:A$91,MATCH(A6,[1]Sheet2!G$2:G$73,0))))</f>
        <v>https://migrantconnections.org/s/mobile_en/item/5059</v>
      </c>
      <c r="C6" t="s">
        <v>26</v>
      </c>
      <c r="D6" t="s">
        <v>16</v>
      </c>
      <c r="E6" t="s">
        <v>17</v>
      </c>
      <c r="F6" t="s">
        <v>27</v>
      </c>
      <c r="G6" t="s">
        <v>13</v>
      </c>
      <c r="H6">
        <v>4</v>
      </c>
      <c r="I6">
        <f t="shared" si="0"/>
        <v>1861</v>
      </c>
      <c r="J6" t="str" cm="1">
        <f t="array" ref="J6">_xlfn.TEXTJOIN("|",,_xlfn.XLOOKUP(_xlfn.TEXTSPLIT(D6,"|"),People!A$2:A$12,People!B$2:B$12,FALSE))</f>
        <v>1811|1814</v>
      </c>
      <c r="L6" s="4" t="str">
        <f t="shared" si="1"/>
        <v>Crede_0068.doc</v>
      </c>
      <c r="M6" s="4" t="str">
        <f t="shared" si="2"/>
        <v>5059.xml</v>
      </c>
    </row>
    <row r="7" spans="1:13" ht="15">
      <c r="A7" t="s">
        <v>28</v>
      </c>
      <c r="B7" s="1" t="str">
        <f>HYPERLINK(_xlfn.CONCAT("https://migrantconnections.org/s/mobile_en/item/",INDEX([1]Sheet2!A$2:A$91,MATCH(A7,[1]Sheet2!G$2:G$73,0))))</f>
        <v>https://migrantconnections.org/s/mobile_en/item/5060</v>
      </c>
      <c r="C7" t="s">
        <v>29</v>
      </c>
      <c r="D7" t="s">
        <v>30</v>
      </c>
      <c r="E7" t="s">
        <v>17</v>
      </c>
      <c r="F7" t="s">
        <v>31</v>
      </c>
      <c r="G7" t="s">
        <v>13</v>
      </c>
      <c r="H7">
        <v>4</v>
      </c>
      <c r="I7">
        <f t="shared" si="0"/>
        <v>1862</v>
      </c>
      <c r="J7" t="str" cm="1">
        <f t="array" ref="J7">_xlfn.TEXTJOIN("|",,_xlfn.XLOOKUP(_xlfn.TEXTSPLIT(D7,"|"),People!A$2:A$12,People!B$2:B$12,FALSE))</f>
        <v>1814</v>
      </c>
      <c r="L7" s="4" t="str">
        <f t="shared" si="1"/>
        <v>Crede_0069.doc</v>
      </c>
      <c r="M7" s="4" t="str">
        <f t="shared" si="2"/>
        <v>5060.xml</v>
      </c>
    </row>
    <row r="8" spans="1:13" ht="15">
      <c r="A8" t="s">
        <v>32</v>
      </c>
      <c r="B8" s="1" t="str">
        <f>HYPERLINK(_xlfn.CONCAT("https://migrantconnections.org/s/mobile_en/item/",INDEX([1]Sheet2!A$2:A$91,MATCH(A8,[1]Sheet2!G$2:G$73,0))))</f>
        <v>https://migrantconnections.org/s/mobile_en/item/5061</v>
      </c>
      <c r="C8" t="s">
        <v>33</v>
      </c>
      <c r="D8" t="s">
        <v>16</v>
      </c>
      <c r="E8" t="s">
        <v>17</v>
      </c>
      <c r="F8" t="s">
        <v>34</v>
      </c>
      <c r="G8" t="s">
        <v>13</v>
      </c>
      <c r="H8">
        <v>6</v>
      </c>
      <c r="I8">
        <f t="shared" si="0"/>
        <v>1862</v>
      </c>
      <c r="J8" t="str" cm="1">
        <f t="array" ref="J8">_xlfn.TEXTJOIN("|",,_xlfn.XLOOKUP(_xlfn.TEXTSPLIT(D8,"|"),People!A$2:A$12,People!B$2:B$12,FALSE))</f>
        <v>1811|1814</v>
      </c>
      <c r="L8" s="4" t="str">
        <f t="shared" si="1"/>
        <v>Crede_0070.doc</v>
      </c>
      <c r="M8" s="4" t="str">
        <f t="shared" si="2"/>
        <v>5061.xml</v>
      </c>
    </row>
    <row r="9" spans="1:13" ht="15">
      <c r="A9" t="s">
        <v>35</v>
      </c>
      <c r="B9" s="1" t="str">
        <f>HYPERLINK(_xlfn.CONCAT("https://migrantconnections.org/s/mobile_en/item/",INDEX([1]Sheet2!A$2:A$91,MATCH(A9,[1]Sheet2!G$2:G$73,0))))</f>
        <v>https://migrantconnections.org/s/mobile_en/item/5062</v>
      </c>
      <c r="C9" t="s">
        <v>36</v>
      </c>
      <c r="D9" t="s">
        <v>37</v>
      </c>
      <c r="E9" t="s">
        <v>17</v>
      </c>
      <c r="F9" t="s">
        <v>38</v>
      </c>
      <c r="G9" t="s">
        <v>13</v>
      </c>
      <c r="H9">
        <v>8</v>
      </c>
      <c r="I9">
        <f t="shared" si="0"/>
        <v>1863</v>
      </c>
      <c r="J9" t="str" cm="1">
        <f t="array" ref="J9">_xlfn.TEXTJOIN("|",,_xlfn.XLOOKUP(_xlfn.TEXTSPLIT(D9,"|"),People!A$2:A$12,People!B$2:B$12,FALSE))</f>
        <v>1811</v>
      </c>
      <c r="L9" s="4" t="str">
        <f t="shared" si="1"/>
        <v>Crede_0071.doc</v>
      </c>
      <c r="M9" s="4" t="str">
        <f t="shared" si="2"/>
        <v>5062.xml</v>
      </c>
    </row>
    <row r="10" spans="1:13" ht="15">
      <c r="A10" t="s">
        <v>39</v>
      </c>
      <c r="B10" s="1" t="str">
        <f>HYPERLINK(_xlfn.CONCAT("https://migrantconnections.org/s/mobile_en/item/",INDEX([1]Sheet2!A$2:A$91,MATCH(A10,[1]Sheet2!G$2:G$73,0))))</f>
        <v>https://migrantconnections.org/s/mobile_en/item/5087</v>
      </c>
      <c r="C10" t="s">
        <v>40</v>
      </c>
      <c r="D10" t="s">
        <v>37</v>
      </c>
      <c r="E10" t="s">
        <v>17</v>
      </c>
      <c r="F10" t="s">
        <v>41</v>
      </c>
      <c r="G10" t="s">
        <v>13</v>
      </c>
      <c r="H10">
        <v>8</v>
      </c>
      <c r="I10">
        <f t="shared" si="0"/>
        <v>1863</v>
      </c>
      <c r="J10" t="str" cm="1">
        <f t="array" ref="J10">_xlfn.TEXTJOIN("|",,_xlfn.XLOOKUP(_xlfn.TEXTSPLIT(D10,"|"),People!A$2:A$12,People!B$2:B$12,FALSE))</f>
        <v>1811</v>
      </c>
      <c r="L10" s="4" t="str">
        <f t="shared" si="1"/>
        <v>Crede_0072.doc</v>
      </c>
      <c r="M10" s="4" t="str">
        <f t="shared" si="2"/>
        <v>5087.xml</v>
      </c>
    </row>
    <row r="11" spans="1:13" ht="15">
      <c r="A11" t="s">
        <v>42</v>
      </c>
      <c r="B11" s="1" t="str">
        <f>HYPERLINK(_xlfn.CONCAT("https://migrantconnections.org/s/mobile_en/item/",INDEX([1]Sheet2!A$2:A$91,MATCH(A11,[1]Sheet2!G$2:G$73,0))))</f>
        <v>https://migrantconnections.org/s/mobile_en/item/5088</v>
      </c>
      <c r="C11" t="s">
        <v>43</v>
      </c>
      <c r="D11" t="s">
        <v>37</v>
      </c>
      <c r="E11" t="s">
        <v>17</v>
      </c>
      <c r="F11" t="s">
        <v>44</v>
      </c>
      <c r="G11" t="s">
        <v>13</v>
      </c>
      <c r="H11">
        <v>4</v>
      </c>
      <c r="I11">
        <f t="shared" si="0"/>
        <v>1864</v>
      </c>
      <c r="J11" t="str" cm="1">
        <f t="array" ref="J11">_xlfn.TEXTJOIN("|",,_xlfn.XLOOKUP(_xlfn.TEXTSPLIT(D11,"|"),People!A$2:A$12,People!B$2:B$12,FALSE))</f>
        <v>1811</v>
      </c>
      <c r="L11" s="4" t="str">
        <f t="shared" si="1"/>
        <v>Crede_0073.doc</v>
      </c>
      <c r="M11" s="4" t="str">
        <f t="shared" si="2"/>
        <v>5088.xml</v>
      </c>
    </row>
    <row r="12" spans="1:13" ht="15">
      <c r="A12" t="s">
        <v>45</v>
      </c>
      <c r="B12" s="1" t="str">
        <f>HYPERLINK(_xlfn.CONCAT("https://migrantconnections.org/s/mobile_en/item/",INDEX([1]Sheet2!A$2:A$91,MATCH(A12,[1]Sheet2!G$2:G$73,0))))</f>
        <v>https://migrantconnections.org/s/mobile_en/item/5089</v>
      </c>
      <c r="C12" t="s">
        <v>46</v>
      </c>
      <c r="D12" t="s">
        <v>47</v>
      </c>
      <c r="E12" t="s">
        <v>17</v>
      </c>
      <c r="F12" t="s">
        <v>48</v>
      </c>
      <c r="G12" t="s">
        <v>13</v>
      </c>
      <c r="H12">
        <v>4</v>
      </c>
      <c r="I12">
        <f t="shared" si="0"/>
        <v>1864</v>
      </c>
      <c r="J12" t="str" cm="1">
        <f t="array" ref="J12">_xlfn.TEXTJOIN("|",,_xlfn.XLOOKUP(_xlfn.TEXTSPLIT(D12,"|"),People!A$2:A$12,People!B$2:B$12,FALSE))</f>
        <v>1811|1853</v>
      </c>
      <c r="L12" s="4" t="str">
        <f t="shared" si="1"/>
        <v>Crede_0074.doc</v>
      </c>
      <c r="M12" s="4" t="str">
        <f t="shared" si="2"/>
        <v>5089.xml</v>
      </c>
    </row>
    <row r="13" spans="1:13" ht="15">
      <c r="A13" t="s">
        <v>49</v>
      </c>
      <c r="B13" s="1" t="str">
        <f>HYPERLINK(_xlfn.CONCAT("https://migrantconnections.org/s/mobile_en/item/",INDEX([1]Sheet2!A$2:A$91,MATCH(A13,[1]Sheet2!G$2:G$73,0))))</f>
        <v>https://migrantconnections.org/s/mobile_en/item/5090</v>
      </c>
      <c r="C13" t="s">
        <v>50</v>
      </c>
      <c r="D13" t="s">
        <v>51</v>
      </c>
      <c r="E13" t="s">
        <v>17</v>
      </c>
      <c r="F13" t="s">
        <v>48</v>
      </c>
      <c r="G13" t="s">
        <v>13</v>
      </c>
      <c r="H13">
        <v>4</v>
      </c>
      <c r="I13">
        <f t="shared" si="0"/>
        <v>1864</v>
      </c>
      <c r="J13" t="str" cm="1">
        <f t="array" ref="J13">_xlfn.TEXTJOIN("|",,_xlfn.XLOOKUP(_xlfn.TEXTSPLIT(D13,"|"),People!A$2:A$12,People!B$2:B$12,FALSE))</f>
        <v>1814|1851|1853</v>
      </c>
      <c r="L13" s="4" t="str">
        <f t="shared" si="1"/>
        <v>Crede_0075.doc</v>
      </c>
      <c r="M13" s="4" t="str">
        <f t="shared" si="2"/>
        <v>5090.xml</v>
      </c>
    </row>
    <row r="14" spans="1:13" ht="15">
      <c r="A14" t="s">
        <v>52</v>
      </c>
      <c r="B14" s="1" t="str">
        <f>HYPERLINK(_xlfn.CONCAT("https://migrantconnections.org/s/mobile_en/item/",INDEX([1]Sheet2!A$2:A$91,MATCH(A14,[1]Sheet2!G$2:G$73,0))))</f>
        <v>https://migrantconnections.org/s/mobile_en/item/5122</v>
      </c>
      <c r="C14" t="s">
        <v>53</v>
      </c>
      <c r="D14" t="s">
        <v>30</v>
      </c>
      <c r="E14" t="s">
        <v>17</v>
      </c>
      <c r="F14" t="s">
        <v>54</v>
      </c>
      <c r="G14" t="s">
        <v>13</v>
      </c>
      <c r="H14">
        <v>2</v>
      </c>
      <c r="I14">
        <f t="shared" si="0"/>
        <v>1865</v>
      </c>
      <c r="J14" t="str" cm="1">
        <f t="array" ref="J14">_xlfn.TEXTJOIN("|",,_xlfn.XLOOKUP(_xlfn.TEXTSPLIT(D14,"|"),People!A$2:A$12,People!B$2:B$12,FALSE))</f>
        <v>1814</v>
      </c>
      <c r="L14" s="4" t="str">
        <f t="shared" si="1"/>
        <v>Crede_0077.doc</v>
      </c>
      <c r="M14" s="4" t="str">
        <f t="shared" si="2"/>
        <v>5122.xml</v>
      </c>
    </row>
    <row r="15" spans="1:13" ht="15">
      <c r="A15" t="s">
        <v>55</v>
      </c>
      <c r="B15" s="1" t="str">
        <f>HYPERLINK(_xlfn.CONCAT("https://migrantconnections.org/s/mobile_en/item/",INDEX([1]Sheet2!A$2:A$91,MATCH(A15,[1]Sheet2!G$2:G$73,0))))</f>
        <v>https://migrantconnections.org/s/mobile_en/item/5123</v>
      </c>
      <c r="C15" t="s">
        <v>56</v>
      </c>
      <c r="D15" t="s">
        <v>57</v>
      </c>
      <c r="E15" t="s">
        <v>17</v>
      </c>
      <c r="F15" t="s">
        <v>58</v>
      </c>
      <c r="G15" t="s">
        <v>13</v>
      </c>
      <c r="H15">
        <v>4</v>
      </c>
      <c r="I15">
        <f t="shared" si="0"/>
        <v>1865</v>
      </c>
      <c r="J15" t="str" cm="1">
        <f t="array" ref="J15">_xlfn.TEXTJOIN("|",,_xlfn.XLOOKUP(_xlfn.TEXTSPLIT(D15,"|"),People!A$2:A$12,People!B$2:B$12,FALSE))</f>
        <v>1851|1853|1811|1814</v>
      </c>
      <c r="L15" s="4" t="str">
        <f t="shared" si="1"/>
        <v>Crede_0078.doc</v>
      </c>
      <c r="M15" s="4" t="str">
        <f t="shared" si="2"/>
        <v>5123.xml</v>
      </c>
    </row>
    <row r="16" spans="1:13" ht="15">
      <c r="A16" t="s">
        <v>59</v>
      </c>
      <c r="B16" s="1" t="str">
        <f>HYPERLINK(_xlfn.CONCAT("https://migrantconnections.org/s/mobile_en/item/",INDEX([1]Sheet2!A$2:A$91,MATCH(A16,[1]Sheet2!G$2:G$73,0))))</f>
        <v>https://migrantconnections.org/s/mobile_en/item/5124</v>
      </c>
      <c r="C16" t="s">
        <v>60</v>
      </c>
      <c r="D16" t="s">
        <v>61</v>
      </c>
      <c r="E16" t="s">
        <v>17</v>
      </c>
      <c r="F16" t="s">
        <v>62</v>
      </c>
      <c r="G16" t="s">
        <v>13</v>
      </c>
      <c r="H16">
        <v>8</v>
      </c>
      <c r="I16">
        <f t="shared" si="0"/>
        <v>1865</v>
      </c>
      <c r="J16" t="str" cm="1">
        <f t="array" ref="J16">_xlfn.TEXTJOIN("|",,_xlfn.XLOOKUP(_xlfn.TEXTSPLIT(D16,"|"),People!A$2:A$12,People!B$2:B$12,FALSE))</f>
        <v>1811|1853|1814</v>
      </c>
      <c r="L16" s="4" t="str">
        <f t="shared" si="1"/>
        <v>Crede_0079.doc</v>
      </c>
      <c r="M16" s="4" t="str">
        <f t="shared" si="2"/>
        <v>5124.xml</v>
      </c>
    </row>
    <row r="17" spans="1:13" ht="15">
      <c r="A17" t="s">
        <v>63</v>
      </c>
      <c r="B17" s="1" t="str">
        <f>HYPERLINK(_xlfn.CONCAT("https://migrantconnections.org/s/mobile_en/item/",INDEX([1]Sheet2!A$2:A$91,MATCH(A17,[1]Sheet2!G$2:G$73,0))))</f>
        <v>https://migrantconnections.org/s/mobile_en/item/5125</v>
      </c>
      <c r="C17" t="s">
        <v>64</v>
      </c>
      <c r="D17" t="s">
        <v>37</v>
      </c>
      <c r="E17" t="s">
        <v>17</v>
      </c>
      <c r="F17" t="s">
        <v>65</v>
      </c>
      <c r="G17" t="s">
        <v>13</v>
      </c>
      <c r="H17">
        <v>2</v>
      </c>
      <c r="I17">
        <f t="shared" si="0"/>
        <v>1865</v>
      </c>
      <c r="J17" t="str" cm="1">
        <f t="array" ref="J17">_xlfn.TEXTJOIN("|",,_xlfn.XLOOKUP(_xlfn.TEXTSPLIT(D17,"|"),People!A$2:A$12,People!B$2:B$12,FALSE))</f>
        <v>1811</v>
      </c>
      <c r="L17" s="4" t="str">
        <f t="shared" si="1"/>
        <v>Crede_0080.doc</v>
      </c>
      <c r="M17" s="4" t="str">
        <f t="shared" si="2"/>
        <v>5125.xml</v>
      </c>
    </row>
    <row r="18" spans="1:13" ht="15">
      <c r="A18" t="s">
        <v>66</v>
      </c>
      <c r="B18" s="1" t="str">
        <f>HYPERLINK(_xlfn.CONCAT("https://migrantconnections.org/s/mobile_en/item/",INDEX([1]Sheet2!A$2:A$91,MATCH(A18,[1]Sheet2!G$2:G$73,0))))</f>
        <v>https://migrantconnections.org/s/mobile_en/item/5126</v>
      </c>
      <c r="C18" t="s">
        <v>67</v>
      </c>
      <c r="D18" t="s">
        <v>68</v>
      </c>
      <c r="E18" t="s">
        <v>17</v>
      </c>
      <c r="F18" t="s">
        <v>69</v>
      </c>
      <c r="G18" t="s">
        <v>13</v>
      </c>
      <c r="H18">
        <v>3</v>
      </c>
      <c r="I18">
        <f t="shared" si="0"/>
        <v>1866</v>
      </c>
      <c r="J18" t="str" cm="1">
        <f t="array" ref="J18">_xlfn.TEXTJOIN("|",,_xlfn.XLOOKUP(_xlfn.TEXTSPLIT(D18,"|"),People!A$2:A$12,People!B$2:B$12,FALSE))</f>
        <v>1851|1814|1853|1811|1843</v>
      </c>
      <c r="L18" s="4" t="str">
        <f t="shared" si="1"/>
        <v>Crede_0081.doc</v>
      </c>
      <c r="M18" s="4" t="str">
        <f t="shared" si="2"/>
        <v>5126.xml</v>
      </c>
    </row>
    <row r="19" spans="1:13" ht="15">
      <c r="A19" t="s">
        <v>70</v>
      </c>
      <c r="B19" s="1" t="str">
        <f>HYPERLINK(_xlfn.CONCAT("https://migrantconnections.org/s/mobile_en/item/",INDEX([1]Sheet2!A$2:A$91,MATCH(A19,[1]Sheet2!G$2:G$73,0))))</f>
        <v>https://migrantconnections.org/s/mobile_en/item/5146</v>
      </c>
      <c r="C19" t="s">
        <v>71</v>
      </c>
      <c r="D19" t="s">
        <v>16</v>
      </c>
      <c r="E19" t="s">
        <v>17</v>
      </c>
      <c r="F19" t="s">
        <v>72</v>
      </c>
      <c r="G19" t="s">
        <v>13</v>
      </c>
      <c r="H19">
        <v>6</v>
      </c>
      <c r="I19">
        <f t="shared" si="0"/>
        <v>1867</v>
      </c>
      <c r="J19" t="str" cm="1">
        <f t="array" ref="J19">_xlfn.TEXTJOIN("|",,_xlfn.XLOOKUP(_xlfn.TEXTSPLIT(D19,"|"),People!A$2:A$12,People!B$2:B$12,FALSE))</f>
        <v>1811|1814</v>
      </c>
      <c r="L19" s="4" t="str">
        <f t="shared" si="1"/>
        <v>Crede_0082.doc</v>
      </c>
      <c r="M19" s="4" t="str">
        <f t="shared" si="2"/>
        <v>5146.xml</v>
      </c>
    </row>
    <row r="20" spans="1:13" ht="15">
      <c r="A20" t="s">
        <v>73</v>
      </c>
      <c r="B20" s="1" t="str">
        <f>HYPERLINK(_xlfn.CONCAT("https://migrantconnections.org/s/mobile_en/item/",INDEX([1]Sheet2!A$2:A$91,MATCH(A20,[1]Sheet2!G$2:G$73,0))))</f>
        <v>https://migrantconnections.org/s/mobile_en/item/5147</v>
      </c>
      <c r="C20" t="s">
        <v>74</v>
      </c>
      <c r="D20" t="s">
        <v>75</v>
      </c>
      <c r="E20" t="s">
        <v>17</v>
      </c>
      <c r="F20" t="s">
        <v>76</v>
      </c>
      <c r="G20" t="s">
        <v>13</v>
      </c>
      <c r="H20">
        <v>6</v>
      </c>
      <c r="I20">
        <f t="shared" si="0"/>
        <v>1867</v>
      </c>
      <c r="J20" t="str" cm="1">
        <f t="array" ref="J20">_xlfn.TEXTJOIN("|",,_xlfn.XLOOKUP(_xlfn.TEXTSPLIT(D20,"|"),People!A$2:A$12,People!B$2:B$12,FALSE))</f>
        <v>1811|1814|1851</v>
      </c>
      <c r="L20" s="4" t="str">
        <f t="shared" si="1"/>
        <v>Crede_0083.doc</v>
      </c>
      <c r="M20" s="4" t="str">
        <f t="shared" si="2"/>
        <v>5147.xml</v>
      </c>
    </row>
    <row r="21" spans="1:13" ht="15">
      <c r="A21" t="s">
        <v>77</v>
      </c>
      <c r="B21" s="1" t="str">
        <f>HYPERLINK(_xlfn.CONCAT("https://migrantconnections.org/s/mobile_en/item/",INDEX([1]Sheet2!A$2:A$91,MATCH(A21,[1]Sheet2!G$2:G$73,0))))</f>
        <v>https://migrantconnections.org/s/mobile_en/item/5148</v>
      </c>
      <c r="C21" t="s">
        <v>78</v>
      </c>
      <c r="D21" t="s">
        <v>79</v>
      </c>
      <c r="E21" t="s">
        <v>17</v>
      </c>
      <c r="F21" t="s">
        <v>80</v>
      </c>
      <c r="G21" t="s">
        <v>13</v>
      </c>
      <c r="H21">
        <v>6</v>
      </c>
      <c r="I21">
        <f t="shared" si="0"/>
        <v>1868</v>
      </c>
      <c r="J21" t="str" cm="1">
        <f t="array" ref="J21">_xlfn.TEXTJOIN("|",,_xlfn.XLOOKUP(_xlfn.TEXTSPLIT(D21,"|"),People!A$2:A$12,People!B$2:B$12,FALSE))</f>
        <v>1851|1811|1814|1853</v>
      </c>
      <c r="L21" s="4" t="str">
        <f t="shared" si="1"/>
        <v>Crede_0084.doc</v>
      </c>
      <c r="M21" s="4" t="str">
        <f t="shared" si="2"/>
        <v>5148.xml</v>
      </c>
    </row>
    <row r="22" spans="1:13" ht="15">
      <c r="A22" t="s">
        <v>81</v>
      </c>
      <c r="B22" s="1" t="str">
        <f>HYPERLINK(_xlfn.CONCAT("https://migrantconnections.org/s/mobile_en/item/",INDEX([1]Sheet2!A$2:A$91,MATCH(A22,[1]Sheet2!G$2:G$73,0))))</f>
        <v>https://migrantconnections.org/s/mobile_en/item/5149</v>
      </c>
      <c r="C22" t="s">
        <v>82</v>
      </c>
      <c r="D22" t="s">
        <v>37</v>
      </c>
      <c r="E22" t="s">
        <v>17</v>
      </c>
      <c r="F22" t="s">
        <v>83</v>
      </c>
      <c r="G22" t="s">
        <v>13</v>
      </c>
      <c r="H22">
        <v>4</v>
      </c>
      <c r="I22">
        <f t="shared" si="0"/>
        <v>1868</v>
      </c>
      <c r="J22" t="str" cm="1">
        <f t="array" ref="J22">_xlfn.TEXTJOIN("|",,_xlfn.XLOOKUP(_xlfn.TEXTSPLIT(D22,"|"),People!A$2:A$12,People!B$2:B$12,FALSE))</f>
        <v>1811</v>
      </c>
      <c r="L22" s="4" t="str">
        <f t="shared" si="1"/>
        <v>Crede_0085.doc</v>
      </c>
      <c r="M22" s="4" t="str">
        <f t="shared" si="2"/>
        <v>5149.xml</v>
      </c>
    </row>
    <row r="23" spans="1:13" ht="15">
      <c r="A23" t="s">
        <v>84</v>
      </c>
      <c r="B23" s="1" t="str">
        <f>HYPERLINK(_xlfn.CONCAT("https://migrantconnections.org/s/mobile_en/item/",INDEX([1]Sheet2!A$2:A$91,MATCH(A23,[1]Sheet2!G$2:G$73,0))))</f>
        <v>https://migrantconnections.org/s/mobile_en/item/5150</v>
      </c>
      <c r="C23" t="s">
        <v>85</v>
      </c>
      <c r="D23" t="s">
        <v>86</v>
      </c>
      <c r="E23" t="s">
        <v>17</v>
      </c>
      <c r="F23" t="s">
        <v>87</v>
      </c>
      <c r="G23" t="s">
        <v>13</v>
      </c>
      <c r="H23">
        <v>5</v>
      </c>
      <c r="I23">
        <f t="shared" si="0"/>
        <v>1869</v>
      </c>
      <c r="J23" t="str" cm="1">
        <f t="array" ref="J23">_xlfn.TEXTJOIN("|",,_xlfn.XLOOKUP(_xlfn.TEXTSPLIT(D23,"|"),People!A$2:A$12,People!B$2:B$12,FALSE))</f>
        <v>1851|1814|1811|1853</v>
      </c>
      <c r="L23" s="4" t="str">
        <f t="shared" si="1"/>
        <v>Crede_0086.doc</v>
      </c>
      <c r="M23" s="4" t="str">
        <f t="shared" si="2"/>
        <v>5150.xml</v>
      </c>
    </row>
    <row r="24" spans="1:13" ht="15">
      <c r="A24" t="s">
        <v>88</v>
      </c>
      <c r="B24" s="1" t="str">
        <f>HYPERLINK(_xlfn.CONCAT("https://migrantconnections.org/s/mobile_en/item/",INDEX([1]Sheet2!A$2:A$91,MATCH(A24,[1]Sheet2!G$2:G$73,0))))</f>
        <v>https://migrantconnections.org/s/mobile_en/item/5178</v>
      </c>
      <c r="C24" t="s">
        <v>89</v>
      </c>
      <c r="D24" t="s">
        <v>90</v>
      </c>
      <c r="E24" t="s">
        <v>91</v>
      </c>
      <c r="F24" t="s">
        <v>92</v>
      </c>
      <c r="G24" t="s">
        <v>13</v>
      </c>
      <c r="H24">
        <v>4</v>
      </c>
      <c r="I24">
        <f t="shared" si="0"/>
        <v>1869</v>
      </c>
      <c r="J24" t="str" cm="1">
        <f t="array" ref="J24">_xlfn.TEXTJOIN("|",,_xlfn.XLOOKUP(_xlfn.TEXTSPLIT(D24,"|"),People!A$2:A$12,People!B$2:B$12,FALSE))</f>
        <v>1811|1814|1851|1853</v>
      </c>
      <c r="L24" s="4" t="str">
        <f t="shared" si="1"/>
        <v>Crede_0087.doc</v>
      </c>
      <c r="M24" s="4" t="str">
        <f t="shared" si="2"/>
        <v>5178.xml</v>
      </c>
    </row>
    <row r="25" spans="1:13" ht="15">
      <c r="A25" t="s">
        <v>93</v>
      </c>
      <c r="B25" s="1" t="str">
        <f>HYPERLINK(_xlfn.CONCAT("https://migrantconnections.org/s/mobile_en/item/",INDEX([1]Sheet2!A$2:A$91,MATCH(A25,[1]Sheet2!G$2:G$73,0))))</f>
        <v>https://migrantconnections.org/s/mobile_en/item/5180</v>
      </c>
      <c r="C25" t="s">
        <v>94</v>
      </c>
      <c r="D25" t="s">
        <v>95</v>
      </c>
      <c r="E25" t="s">
        <v>17</v>
      </c>
      <c r="F25" t="s">
        <v>96</v>
      </c>
      <c r="G25" t="s">
        <v>13</v>
      </c>
      <c r="H25">
        <v>4</v>
      </c>
      <c r="I25">
        <f t="shared" si="0"/>
        <v>1870</v>
      </c>
      <c r="J25" t="str" cm="1">
        <f t="array" ref="J25">_xlfn.TEXTJOIN("|",,_xlfn.XLOOKUP(_xlfn.TEXTSPLIT(D25,"|"),People!A$2:A$12,People!B$2:B$12,FALSE))</f>
        <v>1811|1853|1851|1814</v>
      </c>
      <c r="L25" s="4" t="str">
        <f t="shared" si="1"/>
        <v>Crede_0089.doc</v>
      </c>
      <c r="M25" s="4" t="str">
        <f t="shared" si="2"/>
        <v>5180.xml</v>
      </c>
    </row>
    <row r="26" spans="1:13" ht="15">
      <c r="A26" t="s">
        <v>97</v>
      </c>
      <c r="B26" s="1" t="str">
        <f>HYPERLINK(_xlfn.CONCAT("https://migrantconnections.org/s/mobile_en/item/",INDEX([1]Sheet2!A$2:A$91,MATCH(A26,[1]Sheet2!G$2:G$73,0))))</f>
        <v>https://migrantconnections.org/s/mobile_en/item/5181</v>
      </c>
      <c r="C26" t="s">
        <v>98</v>
      </c>
      <c r="D26" t="s">
        <v>99</v>
      </c>
      <c r="E26" t="s">
        <v>17</v>
      </c>
      <c r="F26" t="s">
        <v>100</v>
      </c>
      <c r="G26" t="s">
        <v>13</v>
      </c>
      <c r="H26">
        <v>4</v>
      </c>
      <c r="I26">
        <f t="shared" si="0"/>
        <v>1871</v>
      </c>
      <c r="J26" t="str" cm="1">
        <f t="array" ref="J26">_xlfn.TEXTJOIN("|",,_xlfn.XLOOKUP(_xlfn.TEXTSPLIT(D26,"|"),People!A$2:A$12,People!B$2:B$12,FALSE))</f>
        <v>1851</v>
      </c>
      <c r="L26" s="4" t="str">
        <f t="shared" si="1"/>
        <v>Crede_0090.doc</v>
      </c>
      <c r="M26" s="4" t="str">
        <f t="shared" si="2"/>
        <v>5181.xml</v>
      </c>
    </row>
    <row r="27" spans="1:13" ht="15">
      <c r="A27" t="s">
        <v>101</v>
      </c>
      <c r="B27" s="1" t="str">
        <f>HYPERLINK(_xlfn.CONCAT("https://migrantconnections.org/s/mobile_en/item/",INDEX([1]Sheet2!A$2:A$91,MATCH(A27,[1]Sheet2!G$2:G$73,0))))</f>
        <v>https://migrantconnections.org/s/mobile_en/item/5182</v>
      </c>
      <c r="C27" t="s">
        <v>102</v>
      </c>
      <c r="D27" t="s">
        <v>103</v>
      </c>
      <c r="E27" t="s">
        <v>17</v>
      </c>
      <c r="F27" t="s">
        <v>104</v>
      </c>
      <c r="G27" t="s">
        <v>13</v>
      </c>
      <c r="H27">
        <v>2</v>
      </c>
      <c r="I27">
        <f t="shared" si="0"/>
        <v>1871</v>
      </c>
      <c r="J27" t="str" cm="1">
        <f t="array" ref="J27">_xlfn.TEXTJOIN("|",,_xlfn.XLOOKUP(_xlfn.TEXTSPLIT(D27,"|"),People!A$2:A$12,People!B$2:B$12,FALSE))</f>
        <v>1837</v>
      </c>
      <c r="L27" s="4" t="str">
        <f t="shared" si="1"/>
        <v>Crede_0091.doc</v>
      </c>
      <c r="M27" s="4" t="str">
        <f t="shared" si="2"/>
        <v>5182.xml</v>
      </c>
    </row>
    <row r="28" spans="1:13" ht="15">
      <c r="A28" t="s">
        <v>105</v>
      </c>
      <c r="B28" s="1" t="str">
        <f>HYPERLINK(_xlfn.CONCAT("https://migrantconnections.org/s/mobile_en/item/",INDEX([1]Sheet2!A$2:A$91,MATCH(A28,[1]Sheet2!G$2:G$73,0))))</f>
        <v>https://migrantconnections.org/s/mobile_en/item/5199</v>
      </c>
      <c r="C28" t="s">
        <v>106</v>
      </c>
      <c r="D28" t="s">
        <v>51</v>
      </c>
      <c r="E28" t="s">
        <v>17</v>
      </c>
      <c r="F28" t="s">
        <v>107</v>
      </c>
      <c r="G28" t="s">
        <v>13</v>
      </c>
      <c r="H28">
        <v>4</v>
      </c>
      <c r="I28">
        <f t="shared" si="0"/>
        <v>1871</v>
      </c>
      <c r="J28" t="str" cm="1">
        <f t="array" ref="J28">_xlfn.TEXTJOIN("|",,_xlfn.XLOOKUP(_xlfn.TEXTSPLIT(D28,"|"),People!A$2:A$12,People!B$2:B$12,FALSE))</f>
        <v>1814|1851|1853</v>
      </c>
      <c r="L28" s="4" t="str">
        <f t="shared" si="1"/>
        <v>Crede_0092.doc</v>
      </c>
      <c r="M28" s="4" t="str">
        <f t="shared" si="2"/>
        <v>5199.xml</v>
      </c>
    </row>
    <row r="29" spans="1:13" ht="15">
      <c r="A29" t="s">
        <v>108</v>
      </c>
      <c r="B29" s="1" t="str">
        <f>HYPERLINK(_xlfn.CONCAT("https://migrantconnections.org/s/mobile_en/item/",INDEX([1]Sheet2!A$2:A$91,MATCH(A29,[1]Sheet2!G$2:G$73,0))))</f>
        <v>https://migrantconnections.org/s/mobile_en/item/5200</v>
      </c>
      <c r="C29" t="s">
        <v>109</v>
      </c>
      <c r="D29" t="s">
        <v>10</v>
      </c>
      <c r="E29" t="s">
        <v>17</v>
      </c>
      <c r="F29" t="s">
        <v>110</v>
      </c>
      <c r="G29" t="s">
        <v>13</v>
      </c>
      <c r="H29">
        <v>4</v>
      </c>
      <c r="I29">
        <f t="shared" si="0"/>
        <v>1871</v>
      </c>
      <c r="J29" t="str" cm="1">
        <f t="array" ref="J29">_xlfn.TEXTJOIN("|",,_xlfn.XLOOKUP(_xlfn.TEXTSPLIT(D29,"|"),People!A$2:A$12,People!B$2:B$12,FALSE))</f>
        <v>1814|1811</v>
      </c>
      <c r="L29" s="4" t="str">
        <f t="shared" si="1"/>
        <v>Crede_0093.doc</v>
      </c>
      <c r="M29" s="4" t="str">
        <f t="shared" si="2"/>
        <v>5200.xml</v>
      </c>
    </row>
    <row r="30" spans="1:13" ht="15">
      <c r="A30" t="s">
        <v>111</v>
      </c>
      <c r="B30" s="1" t="str">
        <f>HYPERLINK(_xlfn.CONCAT("https://migrantconnections.org/s/mobile_en/item/",INDEX([1]Sheet2!A$2:A$91,MATCH(A30,[1]Sheet2!G$2:G$73,0))))</f>
        <v>https://migrantconnections.org/s/mobile_en/item/5201</v>
      </c>
      <c r="C30" t="s">
        <v>112</v>
      </c>
      <c r="D30" t="s">
        <v>37</v>
      </c>
      <c r="E30" t="s">
        <v>17</v>
      </c>
      <c r="F30" t="s">
        <v>113</v>
      </c>
      <c r="G30" t="s">
        <v>13</v>
      </c>
      <c r="H30">
        <v>4</v>
      </c>
      <c r="I30">
        <f t="shared" si="0"/>
        <v>1872</v>
      </c>
      <c r="J30" t="str" cm="1">
        <f t="array" ref="J30">_xlfn.TEXTJOIN("|",,_xlfn.XLOOKUP(_xlfn.TEXTSPLIT(D30,"|"),People!A$2:A$12,People!B$2:B$12,FALSE))</f>
        <v>1811</v>
      </c>
      <c r="L30" s="4" t="str">
        <f t="shared" si="1"/>
        <v>Crede_0094.doc</v>
      </c>
      <c r="M30" s="4" t="str">
        <f t="shared" si="2"/>
        <v>5201.xml</v>
      </c>
    </row>
    <row r="31" spans="1:13" ht="15">
      <c r="A31" t="s">
        <v>114</v>
      </c>
      <c r="B31" s="1" t="str">
        <f>HYPERLINK(_xlfn.CONCAT("https://migrantconnections.org/s/mobile_en/item/",INDEX([1]Sheet2!A$2:A$91,MATCH(A31,[1]Sheet2!G$2:G$73,0))))</f>
        <v>https://migrantconnections.org/s/mobile_en/item/5202</v>
      </c>
      <c r="C31" t="s">
        <v>115</v>
      </c>
      <c r="D31" t="s">
        <v>116</v>
      </c>
      <c r="E31" t="s">
        <v>17</v>
      </c>
      <c r="F31" t="s">
        <v>117</v>
      </c>
      <c r="G31" t="s">
        <v>13</v>
      </c>
      <c r="H31">
        <v>4</v>
      </c>
      <c r="I31">
        <f t="shared" si="0"/>
        <v>1872</v>
      </c>
      <c r="J31" t="str" cm="1">
        <f t="array" ref="J31">_xlfn.TEXTJOIN("|",,_xlfn.XLOOKUP(_xlfn.TEXTSPLIT(D31,"|"),People!A$2:A$12,People!B$2:B$12,FALSE))</f>
        <v>1851|1811|1814</v>
      </c>
      <c r="L31" s="4" t="str">
        <f t="shared" si="1"/>
        <v>Crede_0095.doc</v>
      </c>
      <c r="M31" s="4" t="str">
        <f t="shared" si="2"/>
        <v>5202.xml</v>
      </c>
    </row>
    <row r="32" spans="1:13" ht="15">
      <c r="A32" t="s">
        <v>118</v>
      </c>
      <c r="B32" s="1" t="str">
        <f>HYPERLINK(_xlfn.CONCAT("https://migrantconnections.org/s/mobile_en/item/",INDEX([1]Sheet2!A$2:A$91,MATCH(A32,[1]Sheet2!G$2:G$73,0))))</f>
        <v>https://migrantconnections.org/s/mobile_en/item/2948</v>
      </c>
      <c r="C32" t="s">
        <v>119</v>
      </c>
      <c r="D32" t="s">
        <v>120</v>
      </c>
      <c r="E32" t="s">
        <v>17</v>
      </c>
      <c r="F32" t="s">
        <v>121</v>
      </c>
      <c r="G32" t="s">
        <v>13</v>
      </c>
      <c r="H32">
        <v>4</v>
      </c>
      <c r="I32">
        <f t="shared" si="0"/>
        <v>1872</v>
      </c>
      <c r="J32" t="str" cm="1">
        <f t="array" ref="J32">_xlfn.TEXTJOIN("|",,_xlfn.XLOOKUP(_xlfn.TEXTSPLIT(D32,"|"),People!A$2:A$12,People!B$2:B$12,FALSE))</f>
        <v>1814|1811|1853</v>
      </c>
      <c r="L32" s="4" t="str">
        <f t="shared" si="1"/>
        <v>Crede_0096.doc</v>
      </c>
      <c r="M32" s="4" t="str">
        <f t="shared" si="2"/>
        <v>2948.xml</v>
      </c>
    </row>
    <row r="33" spans="1:13" ht="15">
      <c r="A33" t="s">
        <v>122</v>
      </c>
      <c r="B33" s="1" t="str">
        <f>HYPERLINK(_xlfn.CONCAT("https://migrantconnections.org/s/mobile_en/item/",INDEX([1]Sheet2!A$2:A$91,MATCH(A33,[1]Sheet2!G$2:G$73,0))))</f>
        <v>https://migrantconnections.org/s/mobile_en/item/5223</v>
      </c>
      <c r="C33" t="s">
        <v>123</v>
      </c>
      <c r="D33" t="s">
        <v>124</v>
      </c>
      <c r="E33" t="s">
        <v>17</v>
      </c>
      <c r="F33" t="s">
        <v>125</v>
      </c>
      <c r="G33" t="s">
        <v>13</v>
      </c>
      <c r="H33">
        <v>4</v>
      </c>
      <c r="I33">
        <f t="shared" si="0"/>
        <v>1873</v>
      </c>
      <c r="J33" t="str" cm="1">
        <f t="array" ref="J33">_xlfn.TEXTJOIN("|",,_xlfn.XLOOKUP(_xlfn.TEXTSPLIT(D33,"|"),People!A$2:A$12,People!B$2:B$12,FALSE))</f>
        <v>1811|1814|1853</v>
      </c>
      <c r="L33" s="4" t="str">
        <f t="shared" si="1"/>
        <v>Crede_0097.doc</v>
      </c>
      <c r="M33" s="4" t="str">
        <f t="shared" si="2"/>
        <v>5223.xml</v>
      </c>
    </row>
    <row r="34" spans="1:13" ht="15">
      <c r="A34" t="s">
        <v>126</v>
      </c>
      <c r="B34" s="1" t="str">
        <f>HYPERLINK(_xlfn.CONCAT("https://migrantconnections.org/s/mobile_en/item/",INDEX([1]Sheet2!A$2:A$91,MATCH(A34,[1]Sheet2!G$2:G$73,0))))</f>
        <v>https://migrantconnections.org/s/mobile_en/item/5224</v>
      </c>
      <c r="C34" t="s">
        <v>127</v>
      </c>
      <c r="D34" t="s">
        <v>37</v>
      </c>
      <c r="E34" t="s">
        <v>17</v>
      </c>
      <c r="F34" t="s">
        <v>128</v>
      </c>
      <c r="G34" t="s">
        <v>13</v>
      </c>
      <c r="H34">
        <v>6</v>
      </c>
      <c r="I34">
        <f t="shared" si="0"/>
        <v>1874</v>
      </c>
      <c r="J34" t="str" cm="1">
        <f t="array" ref="J34">_xlfn.TEXTJOIN("|",,_xlfn.XLOOKUP(_xlfn.TEXTSPLIT(D34,"|"),People!A$2:A$12,People!B$2:B$12,FALSE))</f>
        <v>1811</v>
      </c>
      <c r="L34" s="4" t="str">
        <f t="shared" si="1"/>
        <v>Crede_0098.doc</v>
      </c>
      <c r="M34" s="4" t="str">
        <f t="shared" si="2"/>
        <v>5224.xml</v>
      </c>
    </row>
    <row r="35" spans="1:13" ht="15">
      <c r="A35" t="s">
        <v>129</v>
      </c>
      <c r="B35" s="1" t="str">
        <f>HYPERLINK(_xlfn.CONCAT("https://migrantconnections.org/s/mobile_en/item/",INDEX([1]Sheet2!A$2:A$91,MATCH(A35,[1]Sheet2!G$2:G$73,0))))</f>
        <v>https://migrantconnections.org/s/mobile_en/item/5225</v>
      </c>
      <c r="C35" t="s">
        <v>130</v>
      </c>
      <c r="D35" t="s">
        <v>120</v>
      </c>
      <c r="E35" t="s">
        <v>17</v>
      </c>
      <c r="F35" t="s">
        <v>131</v>
      </c>
      <c r="G35" t="s">
        <v>13</v>
      </c>
      <c r="H35">
        <v>4</v>
      </c>
      <c r="I35">
        <f t="shared" si="0"/>
        <v>1874</v>
      </c>
      <c r="J35" t="str" cm="1">
        <f t="array" ref="J35">_xlfn.TEXTJOIN("|",,_xlfn.XLOOKUP(_xlfn.TEXTSPLIT(D35,"|"),People!A$2:A$12,People!B$2:B$12,FALSE))</f>
        <v>1814|1811|1853</v>
      </c>
      <c r="L35" s="4" t="str">
        <f t="shared" si="1"/>
        <v>Crede_0099.doc</v>
      </c>
      <c r="M35" s="4" t="str">
        <f t="shared" si="2"/>
        <v>5225.xml</v>
      </c>
    </row>
    <row r="36" spans="1:13" ht="15">
      <c r="A36" t="s">
        <v>132</v>
      </c>
      <c r="B36" s="1" t="str">
        <f>HYPERLINK(_xlfn.CONCAT("https://migrantconnections.org/s/mobile_en/item/",INDEX([1]Sheet2!A$2:A$91,MATCH(A36,[1]Sheet2!G$2:G$73,0))))</f>
        <v>https://migrantconnections.org/s/mobile_en/item/5226</v>
      </c>
      <c r="C36" t="s">
        <v>133</v>
      </c>
      <c r="D36" t="s">
        <v>16</v>
      </c>
      <c r="E36" t="s">
        <v>17</v>
      </c>
      <c r="F36" t="s">
        <v>134</v>
      </c>
      <c r="G36" t="s">
        <v>135</v>
      </c>
      <c r="H36">
        <v>4</v>
      </c>
      <c r="I36">
        <f t="shared" si="0"/>
        <v>1875</v>
      </c>
      <c r="J36" t="str" cm="1">
        <f t="array" ref="J36">_xlfn.TEXTJOIN("|",,_xlfn.XLOOKUP(_xlfn.TEXTSPLIT(D36,"|"),People!A$2:A$12,People!B$2:B$12,FALSE))</f>
        <v>1811|1814</v>
      </c>
      <c r="L36" s="4" t="str">
        <f t="shared" si="1"/>
        <v>Crede_0100.doc</v>
      </c>
      <c r="M36" s="4" t="str">
        <f t="shared" si="2"/>
        <v>5226.xml</v>
      </c>
    </row>
    <row r="37" spans="1:13" ht="15">
      <c r="A37" t="s">
        <v>136</v>
      </c>
      <c r="B37" s="1" t="str">
        <f>HYPERLINK(_xlfn.CONCAT("https://migrantconnections.org/s/mobile_en/item/",INDEX([1]Sheet2!A$2:A$91,MATCH(A37,[1]Sheet2!G$2:G$73,0))))</f>
        <v>https://migrantconnections.org/s/mobile_en/item/5250</v>
      </c>
      <c r="C37" t="s">
        <v>137</v>
      </c>
      <c r="D37" t="s">
        <v>37</v>
      </c>
      <c r="E37" t="s">
        <v>17</v>
      </c>
      <c r="F37" t="s">
        <v>138</v>
      </c>
      <c r="G37" t="s">
        <v>13</v>
      </c>
      <c r="H37">
        <v>4</v>
      </c>
      <c r="I37">
        <f t="shared" si="0"/>
        <v>1875</v>
      </c>
      <c r="J37" t="str" cm="1">
        <f t="array" ref="J37">_xlfn.TEXTJOIN("|",,_xlfn.XLOOKUP(_xlfn.TEXTSPLIT(D37,"|"),People!A$2:A$12,People!B$2:B$12,FALSE))</f>
        <v>1811</v>
      </c>
      <c r="L37" s="4" t="str">
        <f t="shared" si="1"/>
        <v>Crede_0102.doc</v>
      </c>
      <c r="M37" s="4" t="str">
        <f t="shared" si="2"/>
        <v>5250.xml</v>
      </c>
    </row>
    <row r="38" spans="1:13" ht="15">
      <c r="A38" t="s">
        <v>139</v>
      </c>
      <c r="B38" s="1" t="str">
        <f>HYPERLINK(_xlfn.CONCAT("https://migrantconnections.org/s/mobile_en/item/",INDEX([1]Sheet2!A$2:A$91,MATCH(A38,[1]Sheet2!G$2:G$73,0))))</f>
        <v>https://migrantconnections.org/s/mobile_en/item/5251</v>
      </c>
      <c r="C38" t="s">
        <v>140</v>
      </c>
      <c r="D38" t="s">
        <v>141</v>
      </c>
      <c r="E38" t="s">
        <v>17</v>
      </c>
      <c r="F38" t="s">
        <v>142</v>
      </c>
      <c r="G38" t="s">
        <v>143</v>
      </c>
      <c r="H38">
        <v>2</v>
      </c>
      <c r="I38">
        <f t="shared" si="0"/>
        <v>1875</v>
      </c>
      <c r="J38" t="str" cm="1">
        <f t="array" ref="J38">_xlfn.TEXTJOIN("|",,_xlfn.XLOOKUP(_xlfn.TEXTSPLIT(D38,"|"),People!A$2:A$12,People!B$2:B$12,FALSE))</f>
        <v>1814|1853</v>
      </c>
      <c r="L38" s="4" t="str">
        <f t="shared" si="1"/>
        <v>Crede_0103.doc</v>
      </c>
      <c r="M38" s="4" t="str">
        <f t="shared" si="2"/>
        <v>5251.xml</v>
      </c>
    </row>
    <row r="39" spans="1:13" ht="15">
      <c r="A39" t="s">
        <v>144</v>
      </c>
      <c r="B39" s="1" t="str">
        <f>HYPERLINK(_xlfn.CONCAT("https://migrantconnections.org/s/mobile_en/item/",INDEX([1]Sheet2!A$2:A$91,MATCH(A39,[1]Sheet2!G$2:G$73,0))))</f>
        <v>https://migrantconnections.org/s/mobile_en/item/5252</v>
      </c>
      <c r="C39" t="s">
        <v>145</v>
      </c>
      <c r="D39" t="s">
        <v>37</v>
      </c>
      <c r="E39" t="s">
        <v>17</v>
      </c>
      <c r="F39" t="s">
        <v>146</v>
      </c>
      <c r="G39" t="s">
        <v>13</v>
      </c>
      <c r="H39">
        <v>4</v>
      </c>
      <c r="I39">
        <f t="shared" si="0"/>
        <v>1875</v>
      </c>
      <c r="J39" t="str" cm="1">
        <f t="array" ref="J39">_xlfn.TEXTJOIN("|",,_xlfn.XLOOKUP(_xlfn.TEXTSPLIT(D39,"|"),People!A$2:A$12,People!B$2:B$12,FALSE))</f>
        <v>1811</v>
      </c>
      <c r="L39" s="4" t="str">
        <f t="shared" si="1"/>
        <v>Crede_0104.doc</v>
      </c>
      <c r="M39" s="4" t="str">
        <f t="shared" si="2"/>
        <v>5252.xml</v>
      </c>
    </row>
    <row r="40" spans="1:13" ht="15">
      <c r="A40" t="s">
        <v>147</v>
      </c>
      <c r="B40" s="1" t="str">
        <f>HYPERLINK(_xlfn.CONCAT("https://migrantconnections.org/s/mobile_en/item/",INDEX([1]Sheet2!A$2:A$91,MATCH(A40,[1]Sheet2!G$2:G$73,0))))</f>
        <v>https://migrantconnections.org/s/mobile_en/item/5253</v>
      </c>
      <c r="C40" t="s">
        <v>148</v>
      </c>
      <c r="D40" t="s">
        <v>37</v>
      </c>
      <c r="E40" t="s">
        <v>17</v>
      </c>
      <c r="F40" t="s">
        <v>149</v>
      </c>
      <c r="G40" t="s">
        <v>150</v>
      </c>
      <c r="H40">
        <v>4</v>
      </c>
      <c r="I40">
        <f t="shared" si="0"/>
        <v>1876</v>
      </c>
      <c r="J40" t="str" cm="1">
        <f t="array" ref="J40">_xlfn.TEXTJOIN("|",,_xlfn.XLOOKUP(_xlfn.TEXTSPLIT(D40,"|"),People!A$2:A$12,People!B$2:B$12,FALSE))</f>
        <v>1811</v>
      </c>
      <c r="L40" s="4" t="str">
        <f t="shared" si="1"/>
        <v>Crede_0105.doc</v>
      </c>
      <c r="M40" s="4" t="str">
        <f t="shared" si="2"/>
        <v>5253.xml</v>
      </c>
    </row>
    <row r="41" spans="1:13" ht="15">
      <c r="A41" t="s">
        <v>151</v>
      </c>
      <c r="B41" s="1" t="str">
        <f>HYPERLINK(_xlfn.CONCAT("https://migrantconnections.org/s/mobile_en/item/",INDEX([1]Sheet2!A$2:A$91,MATCH(A41,[1]Sheet2!G$2:G$73,0))))</f>
        <v>https://migrantconnections.org/s/mobile_en/item/5254</v>
      </c>
      <c r="C41" t="s">
        <v>152</v>
      </c>
      <c r="D41" t="s">
        <v>16</v>
      </c>
      <c r="E41" t="s">
        <v>17</v>
      </c>
      <c r="F41" t="s">
        <v>153</v>
      </c>
      <c r="G41" t="s">
        <v>13</v>
      </c>
      <c r="H41">
        <v>2</v>
      </c>
      <c r="I41">
        <f t="shared" si="0"/>
        <v>1876</v>
      </c>
      <c r="J41" t="str" cm="1">
        <f t="array" ref="J41">_xlfn.TEXTJOIN("|",,_xlfn.XLOOKUP(_xlfn.TEXTSPLIT(D41,"|"),People!A$2:A$12,People!B$2:B$12,FALSE))</f>
        <v>1811|1814</v>
      </c>
      <c r="L41" s="4" t="str">
        <f t="shared" si="1"/>
        <v>Crede_0106.doc</v>
      </c>
      <c r="M41" s="4" t="str">
        <f t="shared" si="2"/>
        <v>5254.xml</v>
      </c>
    </row>
    <row r="42" spans="1:13" ht="15">
      <c r="A42" t="s">
        <v>154</v>
      </c>
      <c r="B42" s="1" t="str">
        <f>HYPERLINK(_xlfn.CONCAT("https://migrantconnections.org/s/mobile_en/item/",INDEX([1]Sheet2!A$2:A$91,MATCH(A42,[1]Sheet2!G$2:G$73,0))))</f>
        <v>https://migrantconnections.org/s/mobile_en/item/5271</v>
      </c>
      <c r="C42" t="s">
        <v>155</v>
      </c>
      <c r="D42" t="s">
        <v>37</v>
      </c>
      <c r="E42" t="s">
        <v>17</v>
      </c>
      <c r="F42" t="s">
        <v>156</v>
      </c>
      <c r="G42" t="s">
        <v>13</v>
      </c>
      <c r="H42">
        <v>8</v>
      </c>
      <c r="I42">
        <f t="shared" si="0"/>
        <v>1877</v>
      </c>
      <c r="J42" t="str" cm="1">
        <f t="array" ref="J42">_xlfn.TEXTJOIN("|",,_xlfn.XLOOKUP(_xlfn.TEXTSPLIT(D42,"|"),People!A$2:A$12,People!B$2:B$12,FALSE))</f>
        <v>1811</v>
      </c>
      <c r="L42" s="4" t="str">
        <f t="shared" si="1"/>
        <v>Crede_0107.doc</v>
      </c>
      <c r="M42" s="4" t="str">
        <f t="shared" si="2"/>
        <v>5271.xml</v>
      </c>
    </row>
    <row r="43" spans="1:13" ht="15">
      <c r="A43" t="s">
        <v>157</v>
      </c>
      <c r="B43" s="1" t="str">
        <f>HYPERLINK(_xlfn.CONCAT("https://migrantconnections.org/s/mobile_en/item/",INDEX([1]Sheet2!A$2:A$91,MATCH(A43,[1]Sheet2!G$2:G$73,0))))</f>
        <v>https://migrantconnections.org/s/mobile_en/item/2953</v>
      </c>
      <c r="C43" t="s">
        <v>158</v>
      </c>
      <c r="D43" t="s">
        <v>30</v>
      </c>
      <c r="E43" t="s">
        <v>17</v>
      </c>
      <c r="F43" t="s">
        <v>159</v>
      </c>
      <c r="G43" t="s">
        <v>143</v>
      </c>
      <c r="H43">
        <v>2</v>
      </c>
      <c r="I43">
        <f t="shared" si="0"/>
        <v>1877</v>
      </c>
      <c r="J43" t="str" cm="1">
        <f t="array" ref="J43">_xlfn.TEXTJOIN("|",,_xlfn.XLOOKUP(_xlfn.TEXTSPLIT(D43,"|"),People!A$2:A$12,People!B$2:B$12,FALSE))</f>
        <v>1814</v>
      </c>
      <c r="L43" s="4" t="str">
        <f t="shared" si="1"/>
        <v>Crede_0108.doc</v>
      </c>
      <c r="M43" s="4" t="str">
        <f t="shared" si="2"/>
        <v>2953.xml</v>
      </c>
    </row>
    <row r="44" spans="1:13" ht="15">
      <c r="A44" t="s">
        <v>160</v>
      </c>
      <c r="B44" s="1" t="str">
        <f>HYPERLINK(_xlfn.CONCAT("https://migrantconnections.org/s/mobile_en/item/",INDEX([1]Sheet2!A$2:A$91,MATCH(A44,[1]Sheet2!G$2:G$73,0))))</f>
        <v>https://migrantconnections.org/s/mobile_en/item/5272</v>
      </c>
      <c r="C44" t="s">
        <v>161</v>
      </c>
      <c r="D44" t="s">
        <v>37</v>
      </c>
      <c r="E44" t="s">
        <v>17</v>
      </c>
      <c r="F44" t="s">
        <v>162</v>
      </c>
      <c r="G44" t="s">
        <v>13</v>
      </c>
      <c r="H44">
        <v>8</v>
      </c>
      <c r="I44">
        <f t="shared" si="0"/>
        <v>1879</v>
      </c>
      <c r="J44" t="str" cm="1">
        <f t="array" ref="J44">_xlfn.TEXTJOIN("|",,_xlfn.XLOOKUP(_xlfn.TEXTSPLIT(D44,"|"),People!A$2:A$12,People!B$2:B$12,FALSE))</f>
        <v>1811</v>
      </c>
      <c r="L44" s="4" t="str">
        <f t="shared" si="1"/>
        <v>Crede_0109.doc</v>
      </c>
      <c r="M44" s="4" t="str">
        <f t="shared" si="2"/>
        <v>5272.xml</v>
      </c>
    </row>
    <row r="45" spans="1:13" ht="15">
      <c r="A45" t="s">
        <v>163</v>
      </c>
      <c r="B45" s="1" t="str">
        <f>HYPERLINK(_xlfn.CONCAT("https://migrantconnections.org/s/mobile_en/item/",INDEX([1]Sheet2!A$2:A$91,MATCH(A45,[1]Sheet2!G$2:G$73,0))))</f>
        <v>https://migrantconnections.org/s/mobile_en/item/5274</v>
      </c>
      <c r="C45" t="s">
        <v>164</v>
      </c>
      <c r="D45" t="s">
        <v>37</v>
      </c>
      <c r="E45" t="s">
        <v>17</v>
      </c>
      <c r="F45" t="s">
        <v>165</v>
      </c>
      <c r="G45" t="s">
        <v>13</v>
      </c>
      <c r="H45">
        <v>4</v>
      </c>
      <c r="I45">
        <f t="shared" si="0"/>
        <v>1878</v>
      </c>
      <c r="J45" t="str" cm="1">
        <f t="array" ref="J45">_xlfn.TEXTJOIN("|",,_xlfn.XLOOKUP(_xlfn.TEXTSPLIT(D45,"|"),People!A$2:A$12,People!B$2:B$12,FALSE))</f>
        <v>1811</v>
      </c>
      <c r="L45" s="4" t="str">
        <f t="shared" si="1"/>
        <v>Crede_0111.doc</v>
      </c>
      <c r="M45" s="4" t="str">
        <f t="shared" si="2"/>
        <v>5274.xml</v>
      </c>
    </row>
    <row r="46" spans="1:13" ht="15">
      <c r="A46" t="s">
        <v>166</v>
      </c>
      <c r="B46" s="1" t="str">
        <f>HYPERLINK(_xlfn.CONCAT("https://migrantconnections.org/s/mobile_en/item/",INDEX([1]Sheet2!A$2:A$91,MATCH(A46,[1]Sheet2!G$2:G$73,0))))</f>
        <v>https://migrantconnections.org/s/mobile_en/item/5299</v>
      </c>
      <c r="C46" t="s">
        <v>167</v>
      </c>
      <c r="D46" t="s">
        <v>30</v>
      </c>
      <c r="E46" t="s">
        <v>17</v>
      </c>
      <c r="F46" t="s">
        <v>168</v>
      </c>
      <c r="G46" t="s">
        <v>135</v>
      </c>
      <c r="H46">
        <v>3</v>
      </c>
      <c r="I46">
        <f t="shared" si="0"/>
        <v>1878</v>
      </c>
      <c r="J46" t="str" cm="1">
        <f t="array" ref="J46">_xlfn.TEXTJOIN("|",,_xlfn.XLOOKUP(_xlfn.TEXTSPLIT(D46,"|"),People!A$2:A$12,People!B$2:B$12,FALSE))</f>
        <v>1814</v>
      </c>
      <c r="L46" s="4" t="str">
        <f t="shared" si="1"/>
        <v>Crede_0112.doc</v>
      </c>
      <c r="M46" s="4" t="str">
        <f t="shared" si="2"/>
        <v>5299.xml</v>
      </c>
    </row>
    <row r="47" spans="1:13" ht="15">
      <c r="A47" t="s">
        <v>169</v>
      </c>
      <c r="B47" s="1" t="str">
        <f>HYPERLINK(_xlfn.CONCAT("https://migrantconnections.org/s/mobile_en/item/",INDEX([1]Sheet2!A$2:A$91,MATCH(A47,[1]Sheet2!G$2:G$73,0))))</f>
        <v>https://migrantconnections.org/s/mobile_en/item/5301</v>
      </c>
      <c r="C47" t="s">
        <v>170</v>
      </c>
      <c r="D47" t="s">
        <v>16</v>
      </c>
      <c r="E47" t="s">
        <v>17</v>
      </c>
      <c r="F47" t="s">
        <v>171</v>
      </c>
      <c r="G47" t="s">
        <v>172</v>
      </c>
      <c r="H47">
        <v>4</v>
      </c>
      <c r="I47">
        <f t="shared" si="0"/>
        <v>1879</v>
      </c>
      <c r="J47" t="str" cm="1">
        <f t="array" ref="J47">_xlfn.TEXTJOIN("|",,_xlfn.XLOOKUP(_xlfn.TEXTSPLIT(D47,"|"),People!A$2:A$12,People!B$2:B$12,FALSE))</f>
        <v>1811|1814</v>
      </c>
      <c r="L47" s="4" t="str">
        <f t="shared" si="1"/>
        <v>Crede_0115.doc</v>
      </c>
      <c r="M47" s="4" t="str">
        <f t="shared" si="2"/>
        <v>5301.xml</v>
      </c>
    </row>
    <row r="48" spans="1:13" ht="15">
      <c r="A48" t="s">
        <v>173</v>
      </c>
      <c r="B48" s="1" t="str">
        <f>HYPERLINK(_xlfn.CONCAT("https://migrantconnections.org/s/mobile_en/item/",INDEX([1]Sheet2!A$2:A$91,MATCH(A48,[1]Sheet2!G$2:G$73,0))))</f>
        <v>https://migrantconnections.org/s/mobile_en/item/5302</v>
      </c>
      <c r="C48" t="s">
        <v>174</v>
      </c>
      <c r="D48" t="s">
        <v>37</v>
      </c>
      <c r="E48" t="s">
        <v>17</v>
      </c>
      <c r="F48" t="s">
        <v>175</v>
      </c>
      <c r="G48" t="s">
        <v>13</v>
      </c>
      <c r="H48">
        <v>8</v>
      </c>
      <c r="I48">
        <f t="shared" si="0"/>
        <v>1879</v>
      </c>
      <c r="J48" t="str" cm="1">
        <f t="array" ref="J48">_xlfn.TEXTJOIN("|",,_xlfn.XLOOKUP(_xlfn.TEXTSPLIT(D48,"|"),People!A$2:A$12,People!B$2:B$12,FALSE))</f>
        <v>1811</v>
      </c>
      <c r="L48" s="4" t="str">
        <f t="shared" si="1"/>
        <v>Crede_0116.doc</v>
      </c>
      <c r="M48" s="4" t="str">
        <f t="shared" si="2"/>
        <v>5302.xml</v>
      </c>
    </row>
    <row r="49" spans="1:13" ht="15">
      <c r="A49" t="s">
        <v>176</v>
      </c>
      <c r="B49" s="1" t="str">
        <f>HYPERLINK(_xlfn.CONCAT("https://migrantconnections.org/s/mobile_en/item/",INDEX([1]Sheet2!A$2:A$91,MATCH(A49,[1]Sheet2!G$2:G$73,0))))</f>
        <v>https://migrantconnections.org/s/mobile_en/item/5324</v>
      </c>
      <c r="C49" t="s">
        <v>177</v>
      </c>
      <c r="D49" t="s">
        <v>30</v>
      </c>
      <c r="E49" t="s">
        <v>17</v>
      </c>
      <c r="F49" t="s">
        <v>178</v>
      </c>
      <c r="G49" t="s">
        <v>135</v>
      </c>
      <c r="H49">
        <v>8</v>
      </c>
      <c r="I49">
        <f t="shared" si="0"/>
        <v>1880</v>
      </c>
      <c r="J49" t="str" cm="1">
        <f t="array" ref="J49">_xlfn.TEXTJOIN("|",,_xlfn.XLOOKUP(_xlfn.TEXTSPLIT(D49,"|"),People!A$2:A$12,People!B$2:B$12,FALSE))</f>
        <v>1814</v>
      </c>
      <c r="L49" s="4" t="str">
        <f t="shared" si="1"/>
        <v>Crede_0117.doc</v>
      </c>
      <c r="M49" s="4" t="str">
        <f t="shared" si="2"/>
        <v>5324.xml</v>
      </c>
    </row>
    <row r="50" spans="1:13" ht="15">
      <c r="A50" t="s">
        <v>179</v>
      </c>
      <c r="B50" s="1" t="str">
        <f>HYPERLINK(_xlfn.CONCAT("https://migrantconnections.org/s/mobile_en/item/",INDEX([1]Sheet2!A$2:A$91,MATCH(A50,[1]Sheet2!G$2:G$73,0))))</f>
        <v>https://migrantconnections.org/s/mobile_en/item/5325</v>
      </c>
      <c r="C50" t="s">
        <v>180</v>
      </c>
      <c r="D50" t="s">
        <v>37</v>
      </c>
      <c r="E50" t="s">
        <v>17</v>
      </c>
      <c r="F50" t="s">
        <v>181</v>
      </c>
      <c r="G50" t="s">
        <v>135</v>
      </c>
      <c r="H50">
        <v>4</v>
      </c>
      <c r="I50">
        <f t="shared" si="0"/>
        <v>1880</v>
      </c>
      <c r="J50" t="str" cm="1">
        <f t="array" ref="J50">_xlfn.TEXTJOIN("|",,_xlfn.XLOOKUP(_xlfn.TEXTSPLIT(D50,"|"),People!A$2:A$12,People!B$2:B$12,FALSE))</f>
        <v>1811</v>
      </c>
      <c r="L50" s="4" t="str">
        <f t="shared" si="1"/>
        <v>Crede_0118.doc</v>
      </c>
      <c r="M50" s="4" t="str">
        <f t="shared" si="2"/>
        <v>5325.xml</v>
      </c>
    </row>
    <row r="51" spans="1:13" ht="15">
      <c r="A51" t="s">
        <v>182</v>
      </c>
      <c r="B51" s="1" t="str">
        <f>HYPERLINK(_xlfn.CONCAT("https://migrantconnections.org/s/mobile_en/item/",INDEX([1]Sheet2!A$2:A$91,MATCH(A51,[1]Sheet2!G$2:G$73,0))))</f>
        <v>https://migrantconnections.org/s/mobile_en/item/5327</v>
      </c>
      <c r="C51" t="s">
        <v>183</v>
      </c>
      <c r="D51" t="s">
        <v>37</v>
      </c>
      <c r="E51" t="s">
        <v>17</v>
      </c>
      <c r="F51" t="s">
        <v>184</v>
      </c>
      <c r="G51" t="s">
        <v>135</v>
      </c>
      <c r="H51">
        <v>4</v>
      </c>
      <c r="I51">
        <f t="shared" si="0"/>
        <v>1881</v>
      </c>
      <c r="J51" t="str" cm="1">
        <f t="array" ref="J51">_xlfn.TEXTJOIN("|",,_xlfn.XLOOKUP(_xlfn.TEXTSPLIT(D51,"|"),People!A$2:A$12,People!B$2:B$12,FALSE))</f>
        <v>1811</v>
      </c>
      <c r="L51" s="4" t="str">
        <f t="shared" si="1"/>
        <v>Crede_0120.doc</v>
      </c>
      <c r="M51" s="4" t="str">
        <f t="shared" si="2"/>
        <v>5327.xml</v>
      </c>
    </row>
    <row r="52" spans="1:13" ht="15">
      <c r="A52" t="s">
        <v>185</v>
      </c>
      <c r="B52" s="1" t="str">
        <f>HYPERLINK(_xlfn.CONCAT("https://migrantconnections.org/s/mobile_en/item/",INDEX([1]Sheet2!A$2:A$91,MATCH(A52,[1]Sheet2!G$2:G$73,0))))</f>
        <v>https://migrantconnections.org/s/mobile_en/item/5353</v>
      </c>
      <c r="C52" t="s">
        <v>186</v>
      </c>
      <c r="D52" t="s">
        <v>16</v>
      </c>
      <c r="E52" t="s">
        <v>17</v>
      </c>
      <c r="F52" t="s">
        <v>187</v>
      </c>
      <c r="G52" t="s">
        <v>13</v>
      </c>
      <c r="H52">
        <v>8</v>
      </c>
      <c r="I52">
        <f t="shared" si="0"/>
        <v>1881</v>
      </c>
      <c r="J52" t="str" cm="1">
        <f t="array" ref="J52">_xlfn.TEXTJOIN("|",,_xlfn.XLOOKUP(_xlfn.TEXTSPLIT(D52,"|"),People!A$2:A$12,People!B$2:B$12,FALSE))</f>
        <v>1811|1814</v>
      </c>
      <c r="L52" s="4" t="str">
        <f t="shared" si="1"/>
        <v>Crede_0122.doc</v>
      </c>
      <c r="M52" s="4" t="str">
        <f t="shared" si="2"/>
        <v>5353.xml</v>
      </c>
    </row>
    <row r="53" spans="1:13" ht="15">
      <c r="A53" t="s">
        <v>188</v>
      </c>
      <c r="B53" s="1" t="str">
        <f>HYPERLINK(_xlfn.CONCAT("https://migrantconnections.org/s/mobile_en/item/",INDEX([1]Sheet2!A$2:A$91,MATCH(A53,[1]Sheet2!G$2:G$73,0))))</f>
        <v>https://migrantconnections.org/s/mobile_en/item/5354</v>
      </c>
      <c r="C53" t="s">
        <v>189</v>
      </c>
      <c r="D53" t="s">
        <v>37</v>
      </c>
      <c r="E53" t="s">
        <v>17</v>
      </c>
      <c r="F53" t="s">
        <v>190</v>
      </c>
      <c r="G53" t="s">
        <v>191</v>
      </c>
      <c r="H53">
        <v>4</v>
      </c>
      <c r="I53">
        <f t="shared" si="0"/>
        <v>1882</v>
      </c>
      <c r="J53" t="str" cm="1">
        <f t="array" ref="J53">_xlfn.TEXTJOIN("|",,_xlfn.XLOOKUP(_xlfn.TEXTSPLIT(D53,"|"),People!A$2:A$12,People!B$2:B$12,FALSE))</f>
        <v>1811</v>
      </c>
      <c r="L53" s="4" t="str">
        <f t="shared" si="1"/>
        <v>Crede_0123.doc</v>
      </c>
      <c r="M53" s="4" t="str">
        <f t="shared" si="2"/>
        <v>5354.xml</v>
      </c>
    </row>
    <row r="54" spans="1:13" ht="15">
      <c r="A54" t="s">
        <v>192</v>
      </c>
      <c r="B54" s="1" t="str">
        <f>HYPERLINK(_xlfn.CONCAT("https://migrantconnections.org/s/mobile_en/item/",INDEX([1]Sheet2!A$2:A$91,MATCH(A54,[1]Sheet2!G$2:G$73,0))))</f>
        <v>https://migrantconnections.org/s/mobile_en/item/5355</v>
      </c>
      <c r="C54" t="s">
        <v>193</v>
      </c>
      <c r="D54" t="s">
        <v>37</v>
      </c>
      <c r="E54" t="s">
        <v>17</v>
      </c>
      <c r="F54" t="s">
        <v>194</v>
      </c>
      <c r="G54" t="s">
        <v>191</v>
      </c>
      <c r="H54">
        <v>4</v>
      </c>
      <c r="I54">
        <f t="shared" si="0"/>
        <v>1882</v>
      </c>
      <c r="J54" t="str" cm="1">
        <f t="array" ref="J54">_xlfn.TEXTJOIN("|",,_xlfn.XLOOKUP(_xlfn.TEXTSPLIT(D54,"|"),People!A$2:A$12,People!B$2:B$12,FALSE))</f>
        <v>1811</v>
      </c>
      <c r="L54" s="4" t="str">
        <f t="shared" si="1"/>
        <v>Crede_0125.doc</v>
      </c>
      <c r="M54" s="4" t="str">
        <f t="shared" si="2"/>
        <v>5355.xml</v>
      </c>
    </row>
    <row r="55" spans="1:13" ht="15">
      <c r="A55" t="s">
        <v>195</v>
      </c>
      <c r="B55" s="1" t="str">
        <f>HYPERLINK(_xlfn.CONCAT("https://migrantconnections.org/s/mobile_en/item/",INDEX([1]Sheet2!A$2:A$91,MATCH(A55,[1]Sheet2!G$2:G$73,0))))</f>
        <v>https://migrantconnections.org/s/mobile_en/item/5378</v>
      </c>
      <c r="C55" t="s">
        <v>196</v>
      </c>
      <c r="D55" t="s">
        <v>37</v>
      </c>
      <c r="E55" t="s">
        <v>17</v>
      </c>
      <c r="F55" t="s">
        <v>197</v>
      </c>
      <c r="G55" t="s">
        <v>198</v>
      </c>
      <c r="H55">
        <v>3</v>
      </c>
      <c r="I55">
        <f t="shared" si="0"/>
        <v>1882</v>
      </c>
      <c r="J55" t="str" cm="1">
        <f t="array" ref="J55">_xlfn.TEXTJOIN("|",,_xlfn.XLOOKUP(_xlfn.TEXTSPLIT(D55,"|"),People!A$2:A$12,People!B$2:B$12,FALSE))</f>
        <v>1811</v>
      </c>
      <c r="L55" s="4" t="str">
        <f t="shared" si="1"/>
        <v>Crede_0127.doc</v>
      </c>
      <c r="M55" s="4" t="str">
        <f t="shared" si="2"/>
        <v>5378.xml</v>
      </c>
    </row>
    <row r="56" spans="1:13" ht="15">
      <c r="A56" t="s">
        <v>199</v>
      </c>
      <c r="B56" s="1" t="str">
        <f>HYPERLINK(_xlfn.CONCAT("https://migrantconnections.org/s/mobile_en/item/",INDEX([1]Sheet2!A$2:A$91,MATCH(A56,[1]Sheet2!G$2:G$73,0))))</f>
        <v>https://migrantconnections.org/s/mobile_en/item/5381</v>
      </c>
      <c r="C56" t="s">
        <v>200</v>
      </c>
      <c r="D56" t="s">
        <v>37</v>
      </c>
      <c r="E56" t="s">
        <v>17</v>
      </c>
      <c r="F56" t="s">
        <v>201</v>
      </c>
      <c r="G56" t="s">
        <v>191</v>
      </c>
      <c r="H56">
        <v>4</v>
      </c>
      <c r="I56">
        <f t="shared" si="0"/>
        <v>1883</v>
      </c>
      <c r="J56" t="str" cm="1">
        <f t="array" ref="J56">_xlfn.TEXTJOIN("|",,_xlfn.XLOOKUP(_xlfn.TEXTSPLIT(D56,"|"),People!A$2:A$12,People!B$2:B$12,FALSE))</f>
        <v>1811</v>
      </c>
      <c r="L56" s="4" t="str">
        <f t="shared" si="1"/>
        <v>Crede_0130.doc</v>
      </c>
      <c r="M56" s="4" t="str">
        <f t="shared" si="2"/>
        <v>5381.xml</v>
      </c>
    </row>
    <row r="57" spans="1:13" ht="15">
      <c r="A57" t="s">
        <v>202</v>
      </c>
      <c r="B57" s="1" t="str">
        <f>HYPERLINK(_xlfn.CONCAT("https://migrantconnections.org/s/mobile_en/item/",INDEX([1]Sheet2!A$2:A$91,MATCH(A57,[1]Sheet2!G$2:G$73,0))))</f>
        <v>https://migrantconnections.org/s/mobile_en/item/2961</v>
      </c>
      <c r="C57" t="s">
        <v>203</v>
      </c>
      <c r="D57" t="s">
        <v>30</v>
      </c>
      <c r="E57" t="s">
        <v>17</v>
      </c>
      <c r="F57" t="s">
        <v>204</v>
      </c>
      <c r="G57" t="s">
        <v>143</v>
      </c>
      <c r="H57">
        <v>2</v>
      </c>
      <c r="I57">
        <f t="shared" si="0"/>
        <v>1883</v>
      </c>
      <c r="J57" t="str" cm="1">
        <f t="array" ref="J57">_xlfn.TEXTJOIN("|",,_xlfn.XLOOKUP(_xlfn.TEXTSPLIT(D57,"|"),People!A$2:A$12,People!B$2:B$12,FALSE))</f>
        <v>1814</v>
      </c>
      <c r="L57" s="4" t="str">
        <f t="shared" si="1"/>
        <v>Crede_0131.doc</v>
      </c>
      <c r="M57" s="4" t="str">
        <f t="shared" si="2"/>
        <v>2961.xml</v>
      </c>
    </row>
    <row r="58" spans="1:13" ht="15">
      <c r="A58" t="s">
        <v>205</v>
      </c>
      <c r="B58" s="1" t="str">
        <f>HYPERLINK(_xlfn.CONCAT("https://migrantconnections.org/s/mobile_en/item/",INDEX([1]Sheet2!A$2:A$91,MATCH(A58,[1]Sheet2!G$2:G$73,0))))</f>
        <v>https://migrantconnections.org/s/mobile_en/item/5399</v>
      </c>
      <c r="C58" t="s">
        <v>206</v>
      </c>
      <c r="D58" t="s">
        <v>37</v>
      </c>
      <c r="E58" t="s">
        <v>17</v>
      </c>
      <c r="F58" t="s">
        <v>207</v>
      </c>
      <c r="G58" t="s">
        <v>191</v>
      </c>
      <c r="H58">
        <v>4</v>
      </c>
      <c r="I58">
        <f t="shared" si="0"/>
        <v>1883</v>
      </c>
      <c r="J58" t="str" cm="1">
        <f t="array" ref="J58">_xlfn.TEXTJOIN("|",,_xlfn.XLOOKUP(_xlfn.TEXTSPLIT(D58,"|"),People!A$2:A$12,People!B$2:B$12,FALSE))</f>
        <v>1811</v>
      </c>
      <c r="L58" s="4" t="str">
        <f t="shared" si="1"/>
        <v>Crede_0132.doc</v>
      </c>
      <c r="M58" s="4" t="str">
        <f t="shared" si="2"/>
        <v>5399.xml</v>
      </c>
    </row>
    <row r="59" spans="1:13" ht="15">
      <c r="A59" t="s">
        <v>208</v>
      </c>
      <c r="B59" s="1" t="str">
        <f>HYPERLINK(_xlfn.CONCAT("https://migrantconnections.org/s/mobile_en/item/",INDEX([1]Sheet2!A$2:A$91,MATCH(A59,[1]Sheet2!G$2:G$73,0))))</f>
        <v>https://migrantconnections.org/s/mobile_en/item/5401</v>
      </c>
      <c r="C59" t="s">
        <v>209</v>
      </c>
      <c r="D59" t="s">
        <v>37</v>
      </c>
      <c r="E59" t="s">
        <v>17</v>
      </c>
      <c r="F59" t="s">
        <v>210</v>
      </c>
      <c r="G59" t="s">
        <v>191</v>
      </c>
      <c r="H59">
        <v>4</v>
      </c>
      <c r="I59">
        <f t="shared" si="0"/>
        <v>1883</v>
      </c>
      <c r="J59" t="str" cm="1">
        <f t="array" ref="J59">_xlfn.TEXTJOIN("|",,_xlfn.XLOOKUP(_xlfn.TEXTSPLIT(D59,"|"),People!A$2:A$12,People!B$2:B$12,FALSE))</f>
        <v>1811</v>
      </c>
      <c r="L59" s="4" t="str">
        <f t="shared" si="1"/>
        <v>Crede_0134.doc</v>
      </c>
      <c r="M59" s="4" t="str">
        <f t="shared" si="2"/>
        <v>5401.xml</v>
      </c>
    </row>
    <row r="60" spans="1:13" ht="15">
      <c r="A60" t="s">
        <v>211</v>
      </c>
      <c r="B60" s="1" t="str">
        <f>HYPERLINK(_xlfn.CONCAT("https://migrantconnections.org/s/mobile_en/item/",INDEX([1]Sheet2!A$2:A$91,MATCH(A60,[1]Sheet2!G$2:G$73,0))))</f>
        <v>https://migrantconnections.org/s/mobile_en/item/5403</v>
      </c>
      <c r="C60" t="s">
        <v>212</v>
      </c>
      <c r="D60" t="s">
        <v>37</v>
      </c>
      <c r="E60" t="s">
        <v>17</v>
      </c>
      <c r="F60" t="s">
        <v>213</v>
      </c>
      <c r="G60" t="s">
        <v>13</v>
      </c>
      <c r="H60">
        <v>4</v>
      </c>
      <c r="I60">
        <f t="shared" si="0"/>
        <v>1884</v>
      </c>
      <c r="J60" t="str" cm="1">
        <f t="array" ref="J60">_xlfn.TEXTJOIN("|",,_xlfn.XLOOKUP(_xlfn.TEXTSPLIT(D60,"|"),People!A$2:A$12,People!B$2:B$12,FALSE))</f>
        <v>1811</v>
      </c>
      <c r="L60" s="4" t="str">
        <f t="shared" si="1"/>
        <v>Crede_0136.doc</v>
      </c>
      <c r="M60" s="4" t="str">
        <f t="shared" si="2"/>
        <v>5403.xml</v>
      </c>
    </row>
    <row r="61" spans="1:13" ht="15">
      <c r="A61" t="s">
        <v>214</v>
      </c>
      <c r="B61" s="1" t="str">
        <f>HYPERLINK(_xlfn.CONCAT("https://migrantconnections.org/s/mobile_en/item/",INDEX([1]Sheet2!A$2:A$91,MATCH(A61,[1]Sheet2!G$2:G$73,0))))</f>
        <v>https://migrantconnections.org/s/mobile_en/item/5422</v>
      </c>
      <c r="C61" t="s">
        <v>215</v>
      </c>
      <c r="D61" t="s">
        <v>37</v>
      </c>
      <c r="E61" t="s">
        <v>17</v>
      </c>
      <c r="F61" t="s">
        <v>216</v>
      </c>
      <c r="G61" t="s">
        <v>13</v>
      </c>
      <c r="H61">
        <v>4</v>
      </c>
      <c r="I61">
        <f t="shared" si="0"/>
        <v>1884</v>
      </c>
      <c r="J61" t="str" cm="1">
        <f t="array" ref="J61">_xlfn.TEXTJOIN("|",,_xlfn.XLOOKUP(_xlfn.TEXTSPLIT(D61,"|"),People!A$2:A$12,People!B$2:B$12,FALSE))</f>
        <v>1811</v>
      </c>
      <c r="L61" s="4" t="str">
        <f t="shared" si="1"/>
        <v>Crede_0137.doc</v>
      </c>
      <c r="M61" s="4" t="str">
        <f t="shared" si="2"/>
        <v>5422.xml</v>
      </c>
    </row>
    <row r="62" spans="1:13" ht="15">
      <c r="A62" t="s">
        <v>217</v>
      </c>
      <c r="B62" s="1" t="str">
        <f>HYPERLINK(_xlfn.CONCAT("https://migrantconnections.org/s/mobile_en/item/",INDEX([1]Sheet2!A$2:A$91,MATCH(A62,[1]Sheet2!G$2:G$73,0))))</f>
        <v>https://migrantconnections.org/s/mobile_en/item/5424</v>
      </c>
      <c r="C62" t="s">
        <v>218</v>
      </c>
      <c r="D62" t="s">
        <v>37</v>
      </c>
      <c r="E62" t="s">
        <v>17</v>
      </c>
      <c r="F62" t="s">
        <v>219</v>
      </c>
      <c r="G62" t="s">
        <v>135</v>
      </c>
      <c r="H62">
        <v>4</v>
      </c>
      <c r="I62">
        <f t="shared" si="0"/>
        <v>1884</v>
      </c>
      <c r="J62" t="str" cm="1">
        <f t="array" ref="J62">_xlfn.TEXTJOIN("|",,_xlfn.XLOOKUP(_xlfn.TEXTSPLIT(D62,"|"),People!A$2:A$12,People!B$2:B$12,FALSE))</f>
        <v>1811</v>
      </c>
      <c r="L62" s="4" t="str">
        <f t="shared" si="1"/>
        <v>Crede_0139.doc</v>
      </c>
      <c r="M62" s="4" t="str">
        <f t="shared" si="2"/>
        <v>5424.xml</v>
      </c>
    </row>
    <row r="63" spans="1:13" ht="15">
      <c r="A63" t="s">
        <v>220</v>
      </c>
      <c r="B63" s="1" t="str">
        <f>HYPERLINK(_xlfn.CONCAT("https://migrantconnections.org/s/mobile_en/item/",INDEX([1]Sheet2!A$2:A$91,MATCH(A63,[1]Sheet2!G$2:G$73,0))))</f>
        <v>https://migrantconnections.org/s/mobile_en/item/5426</v>
      </c>
      <c r="C63" t="s">
        <v>221</v>
      </c>
      <c r="D63" t="s">
        <v>16</v>
      </c>
      <c r="E63" t="s">
        <v>17</v>
      </c>
      <c r="F63" t="s">
        <v>222</v>
      </c>
      <c r="G63" t="s">
        <v>135</v>
      </c>
      <c r="H63">
        <v>4</v>
      </c>
      <c r="I63">
        <f t="shared" si="0"/>
        <v>1885</v>
      </c>
      <c r="J63" t="str" cm="1">
        <f t="array" ref="J63">_xlfn.TEXTJOIN("|",,_xlfn.XLOOKUP(_xlfn.TEXTSPLIT(D63,"|"),People!A$2:A$12,People!B$2:B$12,FALSE))</f>
        <v>1811|1814</v>
      </c>
      <c r="L63" s="4" t="str">
        <f t="shared" si="1"/>
        <v>Crede_0141.doc</v>
      </c>
      <c r="M63" s="4" t="str">
        <f t="shared" si="2"/>
        <v>5426.xml</v>
      </c>
    </row>
    <row r="64" spans="1:13" ht="15">
      <c r="A64" t="s">
        <v>223</v>
      </c>
      <c r="B64" s="1" t="str">
        <f>HYPERLINK(_xlfn.CONCAT("https://migrantconnections.org/s/mobile_en/item/",INDEX([1]Sheet2!A$2:A$91,MATCH(A64,[1]Sheet2!G$2:G$73,0))))</f>
        <v>https://migrantconnections.org/s/mobile_en/item/5473</v>
      </c>
      <c r="C64" t="s">
        <v>224</v>
      </c>
      <c r="D64" t="s">
        <v>225</v>
      </c>
      <c r="E64" t="s">
        <v>17</v>
      </c>
      <c r="F64" t="s">
        <v>226</v>
      </c>
      <c r="G64" t="s">
        <v>13</v>
      </c>
      <c r="H64">
        <v>4</v>
      </c>
      <c r="I64">
        <f t="shared" si="0"/>
        <v>1885</v>
      </c>
      <c r="J64" t="str" cm="1">
        <f t="array" ref="J64">_xlfn.TEXTJOIN("|",,_xlfn.XLOOKUP(_xlfn.TEXTSPLIT(D64,"|"),People!A$2:A$12,People!B$2:B$12,FALSE))</f>
        <v>1853</v>
      </c>
      <c r="L64" s="4" t="str">
        <f t="shared" si="1"/>
        <v>Crede_0152.doc</v>
      </c>
      <c r="M64" s="4" t="str">
        <f t="shared" si="2"/>
        <v>5473.xml</v>
      </c>
    </row>
    <row r="65" spans="1:13" ht="15">
      <c r="A65" t="s">
        <v>227</v>
      </c>
      <c r="B65" s="1" t="str">
        <f>HYPERLINK(_xlfn.CONCAT("https://migrantconnections.org/s/mobile_en/item/",INDEX([1]Sheet2!A$2:A$91,MATCH(A65,[1]Sheet2!G$2:G$73,0))))</f>
        <v>https://migrantconnections.org/s/mobile_en/item/5474</v>
      </c>
      <c r="C65" t="s">
        <v>228</v>
      </c>
      <c r="D65" t="s">
        <v>229</v>
      </c>
      <c r="E65" t="s">
        <v>17</v>
      </c>
      <c r="F65" t="s">
        <v>230</v>
      </c>
      <c r="G65" t="s">
        <v>13</v>
      </c>
      <c r="H65">
        <v>2</v>
      </c>
      <c r="I65">
        <f t="shared" si="0"/>
        <v>1885</v>
      </c>
      <c r="J65" t="str" cm="1">
        <f t="array" ref="J65">_xlfn.TEXTJOIN("|",,_xlfn.XLOOKUP(_xlfn.TEXTSPLIT(D65,"|"),People!A$2:A$12,People!B$2:B$12,FALSE))</f>
        <v/>
      </c>
      <c r="L65" s="4" t="str">
        <f t="shared" si="1"/>
        <v>Crede_0153.doc</v>
      </c>
      <c r="M65" s="4" t="str">
        <f t="shared" si="2"/>
        <v>5474.xml</v>
      </c>
    </row>
    <row r="66" spans="1:13" ht="15">
      <c r="A66" t="s">
        <v>231</v>
      </c>
      <c r="B66" s="1" t="str">
        <f>HYPERLINK(_xlfn.CONCAT("https://migrantconnections.org/s/mobile_en/item/",INDEX([1]Sheet2!A$2:A$91,MATCH(A66,[1]Sheet2!G$2:G$73,0))))</f>
        <v>https://migrantconnections.org/s/mobile_en/item/5475</v>
      </c>
      <c r="C66" t="s">
        <v>232</v>
      </c>
      <c r="D66" t="s">
        <v>225</v>
      </c>
      <c r="E66" t="s">
        <v>17</v>
      </c>
      <c r="F66" t="s">
        <v>233</v>
      </c>
      <c r="G66" t="s">
        <v>13</v>
      </c>
      <c r="H66">
        <v>7</v>
      </c>
      <c r="I66">
        <f t="shared" si="0"/>
        <v>1885</v>
      </c>
      <c r="J66" t="str" cm="1">
        <f t="array" ref="J66">_xlfn.TEXTJOIN("|",,_xlfn.XLOOKUP(_xlfn.TEXTSPLIT(D66,"|"),People!A$2:A$12,People!B$2:B$12,FALSE))</f>
        <v>1853</v>
      </c>
      <c r="L66" s="4" t="str">
        <f t="shared" si="1"/>
        <v>Crede_0154.doc</v>
      </c>
      <c r="M66" s="4" t="str">
        <f t="shared" si="2"/>
        <v>5475.xml</v>
      </c>
    </row>
    <row r="67" spans="1:13" ht="15">
      <c r="A67" t="s">
        <v>234</v>
      </c>
      <c r="B67" s="1" t="str">
        <f>HYPERLINK(_xlfn.CONCAT("https://migrantconnections.org/s/mobile_en/item/",INDEX([1]Sheet2!A$2:A$91,MATCH(A67,[1]Sheet2!G$2:G$73,0))))</f>
        <v>https://migrantconnections.org/s/mobile_en/item/5476</v>
      </c>
      <c r="C67" t="s">
        <v>235</v>
      </c>
      <c r="D67" t="s">
        <v>225</v>
      </c>
      <c r="E67" t="s">
        <v>17</v>
      </c>
      <c r="F67" t="s">
        <v>236</v>
      </c>
      <c r="G67" t="s">
        <v>13</v>
      </c>
      <c r="H67">
        <v>5</v>
      </c>
      <c r="I67">
        <f t="shared" ref="I67:I73" si="3">VALUE(LEFT(F67,4))</f>
        <v>1885</v>
      </c>
      <c r="J67" t="str" cm="1">
        <f t="array" ref="J67">_xlfn.TEXTJOIN("|",,_xlfn.XLOOKUP(_xlfn.TEXTSPLIT(D67,"|"),People!A$2:A$12,People!B$2:B$12,FALSE))</f>
        <v>1853</v>
      </c>
      <c r="L67" s="4" t="str">
        <f t="shared" ref="L67:L73" si="4">A67 &amp; ".doc"</f>
        <v>Crede_0155.doc</v>
      </c>
      <c r="M67" s="4" t="str">
        <f t="shared" ref="M67:M73" si="5">_xlfn.TEXTAFTER(B67,"/",6) &amp; ".xml"</f>
        <v>5476.xml</v>
      </c>
    </row>
    <row r="68" spans="1:13" ht="15">
      <c r="A68" t="s">
        <v>237</v>
      </c>
      <c r="B68" s="1" t="str">
        <f>HYPERLINK(_xlfn.CONCAT("https://migrantconnections.org/s/mobile_en/item/",INDEX([1]Sheet2!A$2:A$91,MATCH(A68,[1]Sheet2!G$2:G$73,0))))</f>
        <v>https://migrantconnections.org/s/mobile_en/item/5477</v>
      </c>
      <c r="C68" t="s">
        <v>238</v>
      </c>
      <c r="D68" t="s">
        <v>225</v>
      </c>
      <c r="E68" t="s">
        <v>17</v>
      </c>
      <c r="F68" t="s">
        <v>239</v>
      </c>
      <c r="G68" t="s">
        <v>13</v>
      </c>
      <c r="H68">
        <v>4</v>
      </c>
      <c r="I68">
        <f t="shared" si="3"/>
        <v>1885</v>
      </c>
      <c r="J68" t="str" cm="1">
        <f t="array" ref="J68">_xlfn.TEXTJOIN("|",,_xlfn.XLOOKUP(_xlfn.TEXTSPLIT(D68,"|"),People!A$2:A$12,People!B$2:B$12,FALSE))</f>
        <v>1853</v>
      </c>
      <c r="L68" s="4" t="str">
        <f t="shared" si="4"/>
        <v>Crede_0156.doc</v>
      </c>
      <c r="M68" s="4" t="str">
        <f t="shared" si="5"/>
        <v>5477.xml</v>
      </c>
    </row>
    <row r="69" spans="1:13" ht="15">
      <c r="A69" t="s">
        <v>240</v>
      </c>
      <c r="B69" s="1" t="str">
        <f>HYPERLINK(_xlfn.CONCAT("https://migrantconnections.org/s/mobile_en/item/",INDEX([1]Sheet2!A$2:A$91,MATCH(A69,[1]Sheet2!G$2:G$73,0))))</f>
        <v>https://migrantconnections.org/s/mobile_en/item/2967</v>
      </c>
      <c r="C69" t="s">
        <v>241</v>
      </c>
      <c r="D69" t="s">
        <v>30</v>
      </c>
      <c r="E69" t="s">
        <v>17</v>
      </c>
      <c r="F69" t="s">
        <v>242</v>
      </c>
      <c r="G69" t="s">
        <v>13</v>
      </c>
      <c r="H69">
        <v>3</v>
      </c>
      <c r="I69">
        <f t="shared" si="3"/>
        <v>1885</v>
      </c>
      <c r="J69" t="str" cm="1">
        <f t="array" ref="J69">_xlfn.TEXTJOIN("|",,_xlfn.XLOOKUP(_xlfn.TEXTSPLIT(D69,"|"),People!A$2:A$12,People!B$2:B$12,FALSE))</f>
        <v>1814</v>
      </c>
      <c r="L69" s="4" t="str">
        <f t="shared" si="4"/>
        <v>Crede_0157.doc</v>
      </c>
      <c r="M69" s="4" t="str">
        <f t="shared" si="5"/>
        <v>2967.xml</v>
      </c>
    </row>
    <row r="70" spans="1:13" ht="15">
      <c r="A70" t="s">
        <v>243</v>
      </c>
      <c r="B70" s="1" t="str">
        <f>HYPERLINK(_xlfn.CONCAT("https://migrantconnections.org/s/mobile_en/item/",INDEX([1]Sheet2!A$2:A$91,MATCH(A70,[1]Sheet2!G$2:G$73,0))))</f>
        <v>https://migrantconnections.org/s/mobile_en/item/5500</v>
      </c>
      <c r="C70" t="s">
        <v>244</v>
      </c>
      <c r="D70" t="s">
        <v>225</v>
      </c>
      <c r="E70" t="s">
        <v>17</v>
      </c>
      <c r="F70" t="s">
        <v>245</v>
      </c>
      <c r="G70" t="s">
        <v>13</v>
      </c>
      <c r="H70">
        <v>4</v>
      </c>
      <c r="I70">
        <f t="shared" si="3"/>
        <v>1886</v>
      </c>
      <c r="J70" t="str" cm="1">
        <f t="array" ref="J70">_xlfn.TEXTJOIN("|",,_xlfn.XLOOKUP(_xlfn.TEXTSPLIT(D70,"|"),People!A$2:A$12,People!B$2:B$12,FALSE))</f>
        <v>1853</v>
      </c>
      <c r="L70" s="4" t="str">
        <f t="shared" si="4"/>
        <v>Crede_0158.doc</v>
      </c>
      <c r="M70" s="4" t="str">
        <f t="shared" si="5"/>
        <v>5500.xml</v>
      </c>
    </row>
    <row r="71" spans="1:13" ht="15">
      <c r="A71" t="s">
        <v>246</v>
      </c>
      <c r="B71" s="1" t="str">
        <f>HYPERLINK(_xlfn.CONCAT("https://migrantconnections.org/s/mobile_en/item/",INDEX([1]Sheet2!A$2:A$91,MATCH(A71,[1]Sheet2!G$2:G$73,0))))</f>
        <v>https://migrantconnections.org/s/mobile_en/item/5501</v>
      </c>
      <c r="C71" t="s">
        <v>247</v>
      </c>
      <c r="D71" t="s">
        <v>248</v>
      </c>
      <c r="E71" t="s">
        <v>17</v>
      </c>
      <c r="F71" t="s">
        <v>249</v>
      </c>
      <c r="G71" t="s">
        <v>13</v>
      </c>
      <c r="H71">
        <v>4</v>
      </c>
      <c r="I71">
        <f t="shared" si="3"/>
        <v>1886</v>
      </c>
      <c r="J71" t="str" cm="1">
        <f t="array" ref="J71">_xlfn.TEXTJOIN("|",,_xlfn.XLOOKUP(_xlfn.TEXTSPLIT(D71,"|"),People!A$2:A$12,People!B$2:B$12,FALSE))</f>
        <v/>
      </c>
      <c r="L71" s="4" t="str">
        <f t="shared" si="4"/>
        <v>Crede_0160.doc</v>
      </c>
      <c r="M71" s="4" t="str">
        <f t="shared" si="5"/>
        <v>5501.xml</v>
      </c>
    </row>
    <row r="72" spans="1:13" ht="15">
      <c r="A72" t="s">
        <v>250</v>
      </c>
      <c r="B72" s="1" t="str">
        <f>HYPERLINK(_xlfn.CONCAT("https://migrantconnections.org/s/mobile_en/item/",INDEX([1]Sheet2!A$2:A$91,MATCH(A72,[1]Sheet2!G$2:G$73,0))))</f>
        <v>https://migrantconnections.org/s/mobile_en/item/5502</v>
      </c>
      <c r="C72" t="s">
        <v>251</v>
      </c>
      <c r="D72" t="s">
        <v>252</v>
      </c>
      <c r="E72" t="s">
        <v>17</v>
      </c>
      <c r="F72" t="s">
        <v>253</v>
      </c>
      <c r="G72" t="s">
        <v>135</v>
      </c>
      <c r="H72">
        <v>5</v>
      </c>
      <c r="I72">
        <f t="shared" si="3"/>
        <v>1886</v>
      </c>
      <c r="J72" t="str" cm="1">
        <f t="array" ref="J72">_xlfn.TEXTJOIN("|",,_xlfn.XLOOKUP(_xlfn.TEXTSPLIT(D72,"|"),People!A$2:A$12,People!B$2:B$12,FALSE))</f>
        <v>1853|1811|1814</v>
      </c>
      <c r="L72" s="4" t="str">
        <f t="shared" si="4"/>
        <v>Crede_0161.doc</v>
      </c>
      <c r="M72" s="4" t="str">
        <f t="shared" si="5"/>
        <v>5502.xml</v>
      </c>
    </row>
    <row r="73" spans="1:13" ht="15">
      <c r="A73" t="s">
        <v>254</v>
      </c>
      <c r="B73" s="1" t="str">
        <f>HYPERLINK(_xlfn.CONCAT("https://migrantconnections.org/s/mobile_en/item/",INDEX([1]Sheet2!A$2:A$91,MATCH(A73,[1]Sheet2!G$2:G$73,0))))</f>
        <v>https://migrantconnections.org/s/mobile_en/item/5503</v>
      </c>
      <c r="C73" t="s">
        <v>255</v>
      </c>
      <c r="D73" t="s">
        <v>225</v>
      </c>
      <c r="E73" t="s">
        <v>17</v>
      </c>
      <c r="F73" t="s">
        <v>256</v>
      </c>
      <c r="G73" t="s">
        <v>13</v>
      </c>
      <c r="H73">
        <v>4</v>
      </c>
      <c r="I73">
        <f t="shared" si="3"/>
        <v>1886</v>
      </c>
      <c r="J73" t="str" cm="1">
        <f t="array" ref="J73">_xlfn.TEXTJOIN("|",,_xlfn.XLOOKUP(_xlfn.TEXTSPLIT(D73,"|"),People!A$2:A$12,People!B$2:B$12,FALSE))</f>
        <v>1853</v>
      </c>
      <c r="L73" s="4" t="str">
        <f t="shared" si="4"/>
        <v>Crede_0162.doc</v>
      </c>
      <c r="M73" s="4" t="str">
        <f t="shared" si="5"/>
        <v>5503.xml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F6C66-C90B-44F9-AE5F-0A06817027FC}">
  <dimension ref="A1:B12"/>
  <sheetViews>
    <sheetView workbookViewId="0">
      <selection activeCell="B4" sqref="B4"/>
    </sheetView>
  </sheetViews>
  <sheetFormatPr defaultRowHeight="14.25"/>
  <cols>
    <col min="1" max="1" width="21.875" bestFit="1" customWidth="1"/>
    <col min="2" max="2" width="12.25" bestFit="1" customWidth="1"/>
    <col min="3" max="4" width="21.875" bestFit="1" customWidth="1"/>
    <col min="5" max="5" width="18.375" bestFit="1" customWidth="1"/>
    <col min="6" max="6" width="18" bestFit="1" customWidth="1"/>
  </cols>
  <sheetData>
    <row r="1" spans="1:2" ht="15">
      <c r="A1" s="2" t="s">
        <v>262</v>
      </c>
      <c r="B1" s="2" t="s">
        <v>263</v>
      </c>
    </row>
    <row r="2" spans="1:2">
      <c r="A2" t="s">
        <v>257</v>
      </c>
      <c r="B2">
        <v>1851</v>
      </c>
    </row>
    <row r="3" spans="1:2">
      <c r="A3" t="s">
        <v>258</v>
      </c>
      <c r="B3">
        <v>1843</v>
      </c>
    </row>
    <row r="4" spans="1:2">
      <c r="A4" t="s">
        <v>259</v>
      </c>
    </row>
    <row r="5" spans="1:2">
      <c r="A5" t="s">
        <v>30</v>
      </c>
      <c r="B5">
        <v>1814</v>
      </c>
    </row>
    <row r="6" spans="1:2">
      <c r="A6" t="s">
        <v>229</v>
      </c>
    </row>
    <row r="7" spans="1:2">
      <c r="A7" t="s">
        <v>37</v>
      </c>
      <c r="B7">
        <v>1811</v>
      </c>
    </row>
    <row r="8" spans="1:2">
      <c r="A8" t="s">
        <v>17</v>
      </c>
      <c r="B8">
        <v>1836</v>
      </c>
    </row>
    <row r="9" spans="1:2">
      <c r="A9" t="s">
        <v>261</v>
      </c>
      <c r="B9">
        <v>1840</v>
      </c>
    </row>
    <row r="10" spans="1:2">
      <c r="A10" t="s">
        <v>260</v>
      </c>
    </row>
    <row r="11" spans="1:2">
      <c r="A11" t="s">
        <v>225</v>
      </c>
      <c r="B11">
        <v>1853</v>
      </c>
    </row>
    <row r="12" spans="1:2">
      <c r="A12" t="s">
        <v>103</v>
      </c>
      <c r="B12">
        <v>1837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ED7C1-1A29-488B-B716-C25B1775BCC5}">
  <dimension ref="A1"/>
  <sheetViews>
    <sheetView workbookViewId="0">
      <selection activeCell="A2" sqref="A2:A12"/>
    </sheetView>
  </sheetViews>
  <sheetFormatPr defaultRowHeight="14.25"/>
  <cols>
    <col min="1" max="4" width="21.875" bestFit="1" customWidth="1"/>
    <col min="5" max="5" width="18.375" bestFit="1" customWidth="1"/>
  </cols>
  <sheetData/>
  <sortState xmlns:xlrd2="http://schemas.microsoft.com/office/spreadsheetml/2017/richdata2" ref="A2:A12">
    <sortCondition ref="A2:A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Letters</vt:lpstr>
      <vt:lpstr>People</vt:lpstr>
      <vt:lpstr>Sheet1</vt:lpstr>
      <vt:lpstr>Credes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A.K. Pertilla</dc:creator>
  <cp:lastModifiedBy>A.K. Pertilla</cp:lastModifiedBy>
  <dcterms:created xsi:type="dcterms:W3CDTF">2025-08-21T03:36:52Z</dcterms:created>
  <dcterms:modified xsi:type="dcterms:W3CDTF">2025-09-04T23:48:59Z</dcterms:modified>
</cp:coreProperties>
</file>